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My Excel Tutorial\Excel Projects\"/>
    </mc:Choice>
  </mc:AlternateContent>
  <xr:revisionPtr revIDLastSave="0" documentId="13_ncr:1_{9AF6DAC6-42CF-4D7A-BC87-9029E1EA3E8D}" xr6:coauthVersionLast="47" xr6:coauthVersionMax="47" xr10:uidLastSave="{00000000-0000-0000-0000-000000000000}"/>
  <bookViews>
    <workbookView xWindow="-110" yWindow="-110" windowWidth="19420" windowHeight="11020" tabRatio="631" xr2:uid="{C684DF53-0BEA-49B5-A163-7D96AD9093CF}"/>
  </bookViews>
  <sheets>
    <sheet name="superstore_100rows" sheetId="1" r:id="rId1"/>
    <sheet name="Working Sheet" sheetId="2" r:id="rId2"/>
    <sheet name="Pivot Sheet" sheetId="3" r:id="rId3"/>
    <sheet name="Dashboard Sheet" sheetId="4" r:id="rId4"/>
  </sheets>
  <definedNames>
    <definedName name="_xlnm._FilterDatabase" localSheetId="1" hidden="1">'Working Sheet'!$A$1:$U$101</definedName>
    <definedName name="_xlcn.WorksheetConnection_WorkingSheetA1W1011" hidden="1">'Working Sheet'!$A$1:$W$101</definedName>
    <definedName name="Slicer_Category">#N/A</definedName>
    <definedName name="Slicer_Region">#N/A</definedName>
    <definedName name="Slicer_Segment">#N/A</definedName>
    <definedName name="Slicer_State">#N/A</definedName>
    <definedName name="Slicer_Years__Order_Date">#N/A</definedName>
  </definedNames>
  <calcPr calcId="181029"/>
  <pivotCaches>
    <pivotCache cacheId="4" r:id="rId5"/>
    <pivotCache cacheId="2" r:id="rId6"/>
    <pivotCache cacheId="13"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W$101"/>
        </x15:modelTables>
      </x15:dataModel>
    </ext>
  </extLst>
</workbook>
</file>

<file path=xl/calcChain.xml><?xml version="1.0" encoding="utf-8"?>
<calcChain xmlns="http://schemas.openxmlformats.org/spreadsheetml/2006/main">
  <c r="AB2" i="2" l="1"/>
  <c r="Z2" i="2"/>
  <c r="Y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2" i="2"/>
  <c r="C16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799978-6EE6-47A1-83A1-12F9947EBB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81DF71-BD31-444B-A9A7-F44DDF1C2826}" name="WorksheetConnection_Working Sheet!$A$1:$W$101" type="102" refreshedVersion="8" minRefreshableVersion="5">
    <extLst>
      <ext xmlns:x15="http://schemas.microsoft.com/office/spreadsheetml/2010/11/main" uri="{DE250136-89BD-433C-8126-D09CA5730AF9}">
        <x15:connection id="Range" autoDelete="1">
          <x15:rangePr sourceName="_xlcn.WorksheetConnection_WorkingSheetA1W1011"/>
        </x15:connection>
      </ext>
    </extLst>
  </connection>
</connections>
</file>

<file path=xl/sharedStrings.xml><?xml version="1.0" encoding="utf-8"?>
<sst xmlns="http://schemas.openxmlformats.org/spreadsheetml/2006/main" count="2843" uniqueCount="523">
  <si>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</si>
  <si>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</si>
  <si>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</si>
  <si>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</si>
  <si>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</si>
  <si>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</si>
  <si>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</si>
  <si>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</si>
  <si>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</si>
  <si>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</si>
  <si>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</si>
  <si>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</si>
  <si>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</si>
  <si>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</si>
  <si>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</si>
  <si>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</si>
  <si>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</si>
  <si>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</si>
  <si>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</si>
  <si>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</si>
  <si>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</si>
  <si>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</si>
  <si>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</si>
  <si>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</si>
  <si>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</si>
  <si>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</si>
  <si>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</si>
  <si>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</si>
  <si>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</si>
  <si>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</si>
  <si>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</si>
  <si>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</si>
  <si>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</si>
  <si>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</si>
  <si>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</si>
  <si>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</si>
  <si>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</si>
  <si>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</si>
  <si>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16/06/16</t>
  </si>
  <si>
    <t>DV-13045</t>
  </si>
  <si>
    <t>Darrin Van Huff</t>
  </si>
  <si>
    <t>Corporate</t>
  </si>
  <si>
    <t>Los Angeles</t>
  </si>
  <si>
    <t>California</t>
  </si>
  <si>
    <t>West</t>
  </si>
  <si>
    <t>OFF-LA-10000240</t>
  </si>
  <si>
    <t>Office Supplies</t>
  </si>
  <si>
    <t>Labels</t>
  </si>
  <si>
    <t>Self-Adhesive Address Labels for Typewriters by Universal</t>
  </si>
  <si>
    <t>US-2015-108966</t>
  </si>
  <si>
    <t>18/10/15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</si>
  <si>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</si>
  <si>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</si>
  <si>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</si>
  <si>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</si>
  <si>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</si>
  <si>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</si>
  <si>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</si>
  <si>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</si>
  <si>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</si>
  <si>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</si>
  <si>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</si>
  <si>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</si>
  <si>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14/06/14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</si>
  <si>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</si>
  <si>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</si>
  <si>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</si>
  <si>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</si>
  <si>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</si>
  <si>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</si>
  <si>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</si>
  <si>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</si>
  <si>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</si>
  <si>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</si>
  <si>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</si>
  <si>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</si>
  <si>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</si>
  <si>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</si>
  <si>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</si>
  <si>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</si>
  <si>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</si>
  <si>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</si>
  <si>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</si>
  <si>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</si>
  <si>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</si>
  <si>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</si>
  <si>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</si>
  <si>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15/04/17</t>
  </si>
  <si>
    <t>20/04/17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</si>
  <si>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</si>
  <si>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</si>
  <si>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</si>
  <si>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</si>
  <si>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</si>
  <si>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</si>
  <si>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</si>
  <si>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</si>
  <si>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</si>
  <si>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</si>
  <si>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</si>
  <si>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</si>
  <si>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</si>
  <si>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</si>
  <si>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</si>
  <si>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22/11/15</t>
  </si>
  <si>
    <t>26/11/15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</si>
  <si>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</si>
  <si>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</si>
  <si>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</si>
  <si>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</si>
  <si>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</si>
  <si>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</si>
  <si>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</si>
  <si>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</si>
  <si>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</si>
  <si>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</si>
  <si>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</si>
  <si>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18/11/14</t>
  </si>
  <si>
    <t>PK-19075</t>
  </si>
  <si>
    <t>Pete Kriz</t>
  </si>
  <si>
    <t>Madison</t>
  </si>
  <si>
    <t>Wisconsin</t>
  </si>
  <si>
    <t>OFF-ST-10004186</t>
  </si>
  <si>
    <t>Stur-D-Stor Shelving, Vertical 5-Shelf: 72"H x 36"W x 18 1/2"D</t>
  </si>
  <si>
    <t>CA-2014-167164</t>
  </si>
  <si>
    <t>13/05/14</t>
  </si>
  <si>
    <t>15/05/14</t>
  </si>
  <si>
    <t>AG-10270</t>
  </si>
  <si>
    <t>Alejandro Grove</t>
  </si>
  <si>
    <t>West Jordan</t>
  </si>
  <si>
    <t>Utah</t>
  </si>
  <si>
    <t>OFF-ST-10000107</t>
  </si>
  <si>
    <t>Fellowes Super Stor/Drawer</t>
  </si>
  <si>
    <t>CA-2014-143336</t>
  </si>
  <si>
    <t>27/08/14</t>
  </si>
  <si>
    <t>ZD-21925</t>
  </si>
  <si>
    <t>Zuschuss Donatelli</t>
  </si>
  <si>
    <t>San Francisco</t>
  </si>
  <si>
    <t>OFF-AR-10003056</t>
  </si>
  <si>
    <t>Newell 341</t>
  </si>
  <si>
    <t>TEC-PH-10001949</t>
  </si>
  <si>
    <t>Cisco SPA 501G IP Phone</t>
  </si>
  <si>
    <t>OFF-BI-10002215</t>
  </si>
  <si>
    <t>Wilson Jones Hanging View Binder, White, 1"</t>
  </si>
  <si>
    <t>CA-2016-137330</t>
  </si>
  <si>
    <t>13/12/16</t>
  </si>
  <si>
    <t>KB-16585</t>
  </si>
  <si>
    <t>Ken Black</t>
  </si>
  <si>
    <t>Fremont</t>
  </si>
  <si>
    <t>Nebraska</t>
  </si>
  <si>
    <t>OFF-AR-10000246</t>
  </si>
  <si>
    <t>Newell 318</t>
  </si>
  <si>
    <t>OFF-AP-10001492</t>
  </si>
  <si>
    <t>Acco Six-Outlet Power Strip, 4' Cord Length</t>
  </si>
  <si>
    <t>US-2017-156909</t>
  </si>
  <si>
    <t>16/07/17</t>
  </si>
  <si>
    <t>18/07/17</t>
  </si>
  <si>
    <t>SF-20065</t>
  </si>
  <si>
    <t>Sandra Flanagan</t>
  </si>
  <si>
    <t>Philadelphia</t>
  </si>
  <si>
    <t>Pennsylvania</t>
  </si>
  <si>
    <t>East</t>
  </si>
  <si>
    <t>FUR-CH-10002774</t>
  </si>
  <si>
    <t>Global Deluxe Stacking Chair, Gray</t>
  </si>
  <si>
    <t>CA-2015-106320</t>
  </si>
  <si>
    <t>25/09/15</t>
  </si>
  <si>
    <t>30/09/15</t>
  </si>
  <si>
    <t>EB-13870</t>
  </si>
  <si>
    <t>Emily Burns</t>
  </si>
  <si>
    <t>Orem</t>
  </si>
  <si>
    <t>CA-2016-121755</t>
  </si>
  <si>
    <t>16/01/16</t>
  </si>
  <si>
    <t>20/01/16</t>
  </si>
  <si>
    <t>EH-13945</t>
  </si>
  <si>
    <t>Eric Hoffmann</t>
  </si>
  <si>
    <t>OFF-BI-10001634</t>
  </si>
  <si>
    <t>Wilson Jones Active Use Binders</t>
  </si>
  <si>
    <t>TEC-AC-10003027</t>
  </si>
  <si>
    <t>Accessories</t>
  </si>
  <si>
    <t>Imation 8GB Mini TravelDrive USB 2.0 Flash Drive</t>
  </si>
  <si>
    <t>US-2015-150630</t>
  </si>
  <si>
    <t>17/09/15</t>
  </si>
  <si>
    <t>21/09/15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</si>
  <si>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</si>
  <si>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</si>
  <si>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</si>
  <si>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</si>
  <si>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</si>
  <si>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</si>
  <si>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</si>
  <si>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</si>
  <si>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</si>
  <si>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</si>
  <si>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</si>
  <si>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</si>
  <si>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</si>
  <si>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</si>
  <si>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</si>
  <si>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</si>
  <si>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</si>
  <si>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</si>
  <si>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19/10/17</t>
  </si>
  <si>
    <t>23/10/17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</si>
  <si>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</si>
  <si>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</si>
  <si>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</si>
  <si>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</si>
  <si>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</si>
  <si>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</si>
  <si>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</si>
  <si>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</si>
  <si>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</si>
  <si>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</si>
  <si>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</si>
  <si>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</si>
  <si>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</si>
  <si>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</si>
  <si>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</si>
  <si>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27/12/15</t>
  </si>
  <si>
    <t>31/12/15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</si>
  <si>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</si>
  <si>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</si>
  <si>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</si>
  <si>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</si>
  <si>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</si>
  <si>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</si>
  <si>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</si>
  <si>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</si>
  <si>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</si>
  <si>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</si>
  <si>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</si>
  <si>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15/09/17</t>
  </si>
  <si>
    <t>LC-16930</t>
  </si>
  <si>
    <t>Linda Cazamias</t>
  </si>
  <si>
    <t>Naperville</t>
  </si>
  <si>
    <t>Illinois</t>
  </si>
  <si>
    <t>TEC-PH-10004093</t>
  </si>
  <si>
    <t>Panasonic Kx-TS550</t>
  </si>
  <si>
    <t>CA-2016-101343</t>
  </si>
  <si>
    <t>17/07/16</t>
  </si>
  <si>
    <t>22/07/16</t>
  </si>
  <si>
    <t>RA-19885</t>
  </si>
  <si>
    <t>Ruben Ausman</t>
  </si>
  <si>
    <t>OFF-ST-10003479</t>
  </si>
  <si>
    <t>Eldon Base for stackable storage shelf, platinum</t>
  </si>
  <si>
    <t>CA-2017-139619</t>
  </si>
  <si>
    <t>19/09/17</t>
  </si>
  <si>
    <t>23/09/17</t>
  </si>
  <si>
    <t>ES-14080</t>
  </si>
  <si>
    <t>Erin Smith</t>
  </si>
  <si>
    <t>Melbourne</t>
  </si>
  <si>
    <t>OFF-ST-10003282</t>
  </si>
  <si>
    <t>Advantus 10-Drawer Portable Organizer, Chrome Metal Frame, Smoke Drawers</t>
  </si>
  <si>
    <t>CA-2016-118255</t>
  </si>
  <si>
    <t>13/03/16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</si>
  <si>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</si>
  <si>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</si>
  <si>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</si>
  <si>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</si>
  <si>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</si>
  <si>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</si>
  <si>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</si>
  <si>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</si>
  <si>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</si>
  <si>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20/10/14</t>
  </si>
  <si>
    <t>25/10/14</t>
  </si>
  <si>
    <t>PO-18865</t>
  </si>
  <si>
    <t>Patrick O'Donnell</t>
  </si>
  <si>
    <t>Westland</t>
  </si>
  <si>
    <t>Michigan</t>
  </si>
  <si>
    <t>OFF-ST-10001713</t>
  </si>
  <si>
    <t>Gould Plastics 9-Pocket Panel Bin, 18-3/8w x 5-1/4d x 20-1/2h, Black</t>
  </si>
  <si>
    <t>CA-2016-169194</t>
  </si>
  <si>
    <t>20/06/16</t>
  </si>
  <si>
    <t>25/06/16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</si>
  <si>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</si>
  <si>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</si>
  <si>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</si>
  <si>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</si>
  <si>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</si>
  <si>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</si>
  <si>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</si>
  <si>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</si>
  <si>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</si>
  <si>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18/04/15</t>
  </si>
  <si>
    <t>22/04/15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</si>
  <si>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</si>
  <si>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</si>
  <si>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</si>
  <si>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</si>
  <si>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</si>
  <si>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</si>
  <si>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</si>
  <si>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</si>
  <si>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</si>
  <si>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</si>
  <si>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</si>
  <si>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</si>
  <si>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</si>
  <si>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17/12/16</t>
  </si>
  <si>
    <t>JM-15265</t>
  </si>
  <si>
    <t>Janet Molinari</t>
  </si>
  <si>
    <t>New York City</t>
  </si>
  <si>
    <t>New York</t>
  </si>
  <si>
    <t>OFF-FA-10000304</t>
  </si>
  <si>
    <t>Fasteners</t>
  </si>
  <si>
    <t>Advantus Push Pins</t>
  </si>
  <si>
    <t>TEC-PH-10002447</t>
  </si>
  <si>
    <t>AT&amp;T CL83451 4-Handset Telephone</t>
  </si>
  <si>
    <t>CA-2016-111682</t>
  </si>
  <si>
    <t>17/06/16</t>
  </si>
  <si>
    <t>18/06/16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</si>
  <si>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</si>
  <si>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</si>
  <si>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</si>
  <si>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</si>
  <si>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</si>
  <si>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</si>
  <si>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</si>
  <si>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</si>
  <si>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</si>
  <si>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</si>
  <si>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</si>
  <si>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</si>
  <si>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</si>
  <si>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</si>
  <si>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</si>
  <si>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</si>
  <si>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24/11/15</t>
  </si>
  <si>
    <t>30/11/15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</si>
  <si>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</si>
  <si>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</si>
  <si>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</si>
  <si>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</si>
  <si>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</si>
  <si>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</si>
  <si>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</si>
  <si>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</si>
  <si>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</si>
  <si>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</si>
  <si>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</si>
  <si>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30/04/15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</si>
  <si>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</si>
  <si>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</si>
  <si>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</si>
  <si>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</si>
  <si>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</si>
  <si>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</si>
  <si>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</si>
  <si>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</si>
  <si>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</si>
  <si>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</si>
  <si>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</si>
  <si>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</si>
  <si>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</si>
  <si>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</si>
  <si>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</si>
  <si>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</si>
  <si>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</si>
  <si>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</si>
  <si>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</si>
  <si>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</si>
  <si>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</si>
  <si>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</si>
  <si>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18/09/16</t>
  </si>
  <si>
    <t>23/09/16</t>
  </si>
  <si>
    <t>HM-14980</t>
  </si>
  <si>
    <t>Henry MacAllister</t>
  </si>
  <si>
    <t>OFF-BI-10004654</t>
  </si>
  <si>
    <t>Avery Binding System Hidden Tab Executive Style Index Sets</t>
  </si>
  <si>
    <t>CA-2017-114440</t>
  </si>
  <si>
    <t>14/09/17</t>
  </si>
  <si>
    <t>17/09/17</t>
  </si>
  <si>
    <t>Jackson</t>
  </si>
  <si>
    <t>OFF-PA-10004675</t>
  </si>
  <si>
    <t>Telephone Message Books with Fax/Mobile Section, 5 1/2" x 3 3/16"</t>
  </si>
  <si>
    <t>US-2015-134026</t>
  </si>
  <si>
    <t>26/04/15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</si>
  <si>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</si>
  <si>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</si>
  <si>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</si>
  <si>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</si>
  <si>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</si>
  <si>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</si>
  <si>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</si>
  <si>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</si>
  <si>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</si>
  <si>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</si>
  <si>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</si>
  <si>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</si>
  <si>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</si>
  <si>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</si>
  <si>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</si>
  <si>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</si>
  <si>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</si>
  <si>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</si>
  <si>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</si>
  <si>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</si>
  <si>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26/11/14</t>
  </si>
  <si>
    <t>FUR-FU-10003194</t>
  </si>
  <si>
    <t>Eldon Expressions Desk Accessory, Wood Pencil Holder, Oak</t>
  </si>
  <si>
    <t>CA-2016-127208</t>
  </si>
  <si>
    <t>15/06/16</t>
  </si>
  <si>
    <t>SC-20770</t>
  </si>
  <si>
    <t>Stewart Carmichael</t>
  </si>
  <si>
    <t>Decatur</t>
  </si>
  <si>
    <t>Alabama</t>
  </si>
  <si>
    <t>OFF-AP-10002118</t>
  </si>
  <si>
    <t>1.7 Cubic Foot Compact "Cube" Office Refrigerators</t>
  </si>
  <si>
    <t>OFF-BI-10002309</t>
  </si>
  <si>
    <t>Avery Heavy-Duty EZD  Binder With Locking Rings</t>
  </si>
  <si>
    <t>CA-2014-139451</t>
  </si>
  <si>
    <t>16/10/14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</si>
  <si>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</si>
  <si>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</si>
  <si>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</si>
  <si>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</si>
  <si>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</si>
  <si>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</si>
  <si>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</si>
  <si>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</si>
  <si>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</si>
  <si>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</si>
  <si>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</si>
  <si>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</si>
  <si>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</si>
  <si>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13/11/17</t>
  </si>
  <si>
    <t>16/11/17</t>
  </si>
  <si>
    <t>CS-12400</t>
  </si>
  <si>
    <t>Christopher Schild</t>
  </si>
  <si>
    <t>OFF-ST-10003656</t>
  </si>
  <si>
    <t>Safco Industrial Wire Shelving</t>
  </si>
  <si>
    <t>CA-2017-140088</t>
  </si>
  <si>
    <t>28/05/17</t>
  </si>
  <si>
    <t>30/05/17</t>
  </si>
  <si>
    <t>Columbia</t>
  </si>
  <si>
    <t>South Carolina</t>
  </si>
  <si>
    <t>FUR-CH-10000863</t>
  </si>
  <si>
    <t>Novimex Swivel Fabric Task Chair</t>
  </si>
  <si>
    <t>CA-2017-155558</t>
  </si>
  <si>
    <t>26/10/17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</si>
  <si>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</si>
  <si>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</si>
  <si>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</si>
  <si>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</si>
  <si>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</si>
  <si>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</si>
  <si>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</si>
  <si>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</si>
  <si>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</si>
  <si>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</si>
  <si>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</si>
  <si>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</si>
  <si>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</si>
  <si>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17/09/16</t>
  </si>
  <si>
    <t>22/09/16</t>
  </si>
  <si>
    <t>JS-15685</t>
  </si>
  <si>
    <t>Jim Sink</t>
  </si>
  <si>
    <t>OFF-AR-10004930</t>
  </si>
  <si>
    <t>Turquoise Lead Holder with Pocket Clip</t>
  </si>
  <si>
    <t>OFF-PA-10000304</t>
  </si>
  <si>
    <t>Xerox 1995</t>
  </si>
  <si>
    <t>CA-2015-149587</t>
  </si>
  <si>
    <t>31/01/15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</si>
  <si>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</si>
  <si>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</si>
  <si>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</si>
  <si>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</si>
  <si>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</si>
  <si>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</si>
  <si>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</si>
  <si>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</si>
  <si>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</si>
  <si>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</si>
  <si>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</si>
  <si>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</si>
  <si>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</si>
  <si>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</si>
  <si>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</si>
  <si>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</si>
  <si>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</si>
  <si>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</si>
  <si>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</si>
  <si>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</si>
  <si>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</si>
  <si>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</si>
  <si>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17/06/17</t>
  </si>
  <si>
    <t>20/06/17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</si>
  <si>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</si>
  <si>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</si>
  <si>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</si>
  <si>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</si>
  <si>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</si>
  <si>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</si>
  <si>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</si>
  <si>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</si>
  <si>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</si>
  <si>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</si>
  <si>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</si>
  <si>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29/08/16</t>
  </si>
  <si>
    <t>RB-19465</t>
  </si>
  <si>
    <t>Rick Bensley</t>
  </si>
  <si>
    <t>OFF-PA-10003256</t>
  </si>
  <si>
    <t>Avery Personal Creations Heavyweight Cards</t>
  </si>
  <si>
    <t>Profit Margin</t>
  </si>
  <si>
    <t>Row Labels</t>
  </si>
  <si>
    <t>Grand Total</t>
  </si>
  <si>
    <t>Sum of Profit</t>
  </si>
  <si>
    <t>Sum of Sales</t>
  </si>
  <si>
    <t>2014</t>
  </si>
  <si>
    <t>2015</t>
  </si>
  <si>
    <t>2016</t>
  </si>
  <si>
    <t>2017</t>
  </si>
  <si>
    <t>Count of Segment</t>
  </si>
  <si>
    <t>Average of Discount</t>
  </si>
  <si>
    <t>Days Before Shipment</t>
  </si>
  <si>
    <t>Average of Days Before Shipment</t>
  </si>
  <si>
    <t>Count of Days Before Shipment</t>
  </si>
  <si>
    <t>SUPERSTORE SALES DASHBOARD</t>
  </si>
  <si>
    <t>Total Sales</t>
  </si>
  <si>
    <t>Total Profit</t>
  </si>
  <si>
    <t>Distinct Count of Order ID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</si>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</sst>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quot;K&quot;"/>
    <numFmt numFmtId="169" formatCode="0.0"/>
    <numFmt numFmtId="170"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Times New Roman"/>
      <family val="1"/>
    </font>
    <font>
      <b/>
      <sz val="40"/>
      <color theme="0"/>
      <name val="Times New Roman"/>
      <family val="1"/>
    </font>
    <font>
      <b/>
      <sz val="45"/>
      <color theme="0"/>
      <name val="Times New Roman"/>
      <family val="1"/>
    </font>
    <font>
      <sz val="35"/>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2B797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42" applyFont="1"/>
    <xf numFmtId="0" fontId="0" fillId="33" borderId="0" xfId="0" applyFill="1"/>
    <xf numFmtId="0" fontId="0" fillId="0" borderId="0" xfId="0" applyNumberFormat="1"/>
    <xf numFmtId="9" fontId="0" fillId="0" borderId="0" xfId="0" applyNumberFormat="1"/>
    <xf numFmtId="0" fontId="0" fillId="33" borderId="0" xfId="0" applyFill="1" applyAlignment="1"/>
    <xf numFmtId="0" fontId="0" fillId="33" borderId="0" xfId="0" applyFill="1" applyAlignment="1">
      <alignment vertical="center"/>
    </xf>
    <xf numFmtId="0" fontId="18" fillId="33" borderId="0" xfId="0" applyFont="1" applyFill="1" applyAlignment="1">
      <alignment vertical="center"/>
    </xf>
    <xf numFmtId="165" fontId="0" fillId="0" borderId="0" xfId="0" applyNumberFormat="1"/>
    <xf numFmtId="169" fontId="0" fillId="0" borderId="0" xfId="0" applyNumberFormat="1"/>
    <xf numFmtId="170" fontId="0" fillId="0" borderId="0" xfId="0" applyNumberFormat="1"/>
    <xf numFmtId="0" fontId="0" fillId="33" borderId="0" xfId="0" applyFill="1" applyAlignment="1">
      <alignment horizontal="center"/>
    </xf>
    <xf numFmtId="0" fontId="20" fillId="34" borderId="0" xfId="0" applyFont="1" applyFill="1" applyAlignment="1">
      <alignment horizontal="center" vertical="center"/>
    </xf>
    <xf numFmtId="0" fontId="18" fillId="34" borderId="0" xfId="0" applyFont="1" applyFill="1" applyAlignment="1">
      <alignment horizontal="center" vertical="center"/>
    </xf>
    <xf numFmtId="0" fontId="0" fillId="34" borderId="0" xfId="0" applyFill="1" applyAlignment="1">
      <alignment horizontal="center"/>
    </xf>
    <xf numFmtId="0" fontId="21" fillId="34" borderId="0" xfId="0" applyFont="1" applyFill="1" applyAlignment="1">
      <alignment horizontal="center"/>
    </xf>
    <xf numFmtId="0" fontId="19"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2B79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Total Profit By Region</a:t>
            </a:r>
          </a:p>
        </c:rich>
      </c:tx>
      <c:layout>
        <c:manualLayout>
          <c:xMode val="edge"/>
          <c:yMode val="edge"/>
          <c:x val="0.29318587704894744"/>
          <c:y val="0.119272271564820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ln>
          <a:effectLst/>
        </c:spPr>
      </c:pivotFmt>
      <c:pivotFmt>
        <c:idx val="2"/>
        <c:spPr>
          <a:solidFill>
            <a:srgbClr val="FF0000"/>
          </a:solidFill>
          <a:ln>
            <a:solidFill>
              <a:srgbClr val="FF0000"/>
            </a:solidFill>
          </a:ln>
          <a:effectLst/>
        </c:spPr>
      </c:pivotFmt>
      <c:pivotFmt>
        <c:idx val="3"/>
        <c:spPr>
          <a:solidFill>
            <a:srgbClr val="00B050"/>
          </a:solidFill>
          <a:ln>
            <a:solidFill>
              <a:srgbClr val="00B050"/>
            </a:solidFill>
          </a:ln>
          <a:effectLst/>
        </c:spPr>
      </c:pivotFmt>
      <c:pivotFmt>
        <c:idx val="4"/>
        <c:spPr>
          <a:solidFill>
            <a:srgbClr val="00B050"/>
          </a:solidFill>
          <a:ln>
            <a:solidFill>
              <a:srgbClr val="00B050"/>
            </a:solidFill>
          </a:ln>
          <a:effectLst/>
        </c:spPr>
      </c:pivotFmt>
    </c:pivotFmts>
    <c:plotArea>
      <c:layout>
        <c:manualLayout>
          <c:layoutTarget val="inner"/>
          <c:xMode val="edge"/>
          <c:yMode val="edge"/>
          <c:x val="0.20432600775649309"/>
          <c:y val="0.2922445805385438"/>
          <c:w val="0.63774356563638501"/>
          <c:h val="0.48343657042869642"/>
        </c:manualLayout>
      </c:layout>
      <c:barChart>
        <c:barDir val="col"/>
        <c:grouping val="clustered"/>
        <c:varyColors val="0"/>
        <c:ser>
          <c:idx val="0"/>
          <c:order val="0"/>
          <c:tx>
            <c:strRef>
              <c:f>'Pivot Sheet'!$B$3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solidFill>
                  <a:srgbClr val="00B050"/>
                </a:solidFill>
              </a:ln>
              <a:effectLst/>
            </c:spPr>
            <c:extLst>
              <c:ext xmlns:c16="http://schemas.microsoft.com/office/drawing/2014/chart" uri="{C3380CC4-5D6E-409C-BE32-E72D297353CC}">
                <c16:uniqueId val="{00000008-C753-42FD-A53F-85CD61E8427D}"/>
              </c:ext>
            </c:extLst>
          </c:dPt>
          <c:dPt>
            <c:idx val="1"/>
            <c:invertIfNegative val="0"/>
            <c:bubble3D val="0"/>
            <c:spPr>
              <a:solidFill>
                <a:srgbClr val="FF0000"/>
              </a:solidFill>
              <a:ln>
                <a:solidFill>
                  <a:srgbClr val="FF0000"/>
                </a:solidFill>
              </a:ln>
              <a:effectLst/>
            </c:spPr>
            <c:extLst>
              <c:ext xmlns:c16="http://schemas.microsoft.com/office/drawing/2014/chart" uri="{C3380CC4-5D6E-409C-BE32-E72D297353CC}">
                <c16:uniqueId val="{00000005-C753-42FD-A53F-85CD61E8427D}"/>
              </c:ext>
            </c:extLst>
          </c:dPt>
          <c:dPt>
            <c:idx val="2"/>
            <c:invertIfNegative val="0"/>
            <c:bubble3D val="0"/>
            <c:spPr>
              <a:solidFill>
                <a:srgbClr val="FF0000"/>
              </a:solidFill>
              <a:ln>
                <a:solidFill>
                  <a:srgbClr val="FF0000"/>
                </a:solidFill>
              </a:ln>
              <a:effectLst/>
            </c:spPr>
            <c:extLst>
              <c:ext xmlns:c16="http://schemas.microsoft.com/office/drawing/2014/chart" uri="{C3380CC4-5D6E-409C-BE32-E72D297353CC}">
                <c16:uniqueId val="{00000006-C753-42FD-A53F-85CD61E8427D}"/>
              </c:ext>
            </c:extLst>
          </c:dPt>
          <c:dPt>
            <c:idx val="3"/>
            <c:invertIfNegative val="0"/>
            <c:bubble3D val="0"/>
            <c:spPr>
              <a:solidFill>
                <a:srgbClr val="00B050"/>
              </a:solidFill>
              <a:ln>
                <a:solidFill>
                  <a:srgbClr val="00B050"/>
                </a:solidFill>
              </a:ln>
              <a:effectLst/>
            </c:spPr>
            <c:extLst>
              <c:ext xmlns:c16="http://schemas.microsoft.com/office/drawing/2014/chart" uri="{C3380CC4-5D6E-409C-BE32-E72D297353CC}">
                <c16:uniqueId val="{00000007-C753-42FD-A53F-85CD61E8427D}"/>
              </c:ext>
            </c:extLst>
          </c:dPt>
          <c:cat>
            <c:strRef>
              <c:f>'Pivot Sheet'!$A$4:$A$8</c:f>
              <c:strCache>
                <c:ptCount val="4"/>
                <c:pt idx="0">
                  <c:v>Central</c:v>
                </c:pt>
                <c:pt idx="1">
                  <c:v>East</c:v>
                </c:pt>
                <c:pt idx="2">
                  <c:v>South</c:v>
                </c:pt>
                <c:pt idx="3">
                  <c:v>West</c:v>
                </c:pt>
              </c:strCache>
            </c:strRef>
          </c:cat>
          <c:val>
            <c:numRef>
              <c:f>'Pivot Sheet'!$B$4:$B$8</c:f>
              <c:numCache>
                <c:formatCode>0.00</c:formatCode>
                <c:ptCount val="4"/>
                <c:pt idx="0">
                  <c:v>66.058599999999984</c:v>
                </c:pt>
                <c:pt idx="1">
                  <c:v>-1188.4077</c:v>
                </c:pt>
                <c:pt idx="2">
                  <c:v>-39.463299999999997</c:v>
                </c:pt>
                <c:pt idx="3">
                  <c:v>1059.9217000000001</c:v>
                </c:pt>
              </c:numCache>
            </c:numRef>
          </c:val>
          <c:extLst>
            <c:ext xmlns:c16="http://schemas.microsoft.com/office/drawing/2014/chart" uri="{C3380CC4-5D6E-409C-BE32-E72D297353CC}">
              <c16:uniqueId val="{00000000-C753-42FD-A53F-85CD61E8427D}"/>
            </c:ext>
          </c:extLst>
        </c:ser>
        <c:dLbls>
          <c:showLegendKey val="0"/>
          <c:showVal val="0"/>
          <c:showCatName val="0"/>
          <c:showSerName val="0"/>
          <c:showPercent val="0"/>
          <c:showBubbleSize val="0"/>
        </c:dLbls>
        <c:gapWidth val="219"/>
        <c:overlap val="-27"/>
        <c:axId val="533377112"/>
        <c:axId val="533374952"/>
      </c:barChart>
      <c:catAx>
        <c:axId val="533377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Region</a:t>
                </a:r>
              </a:p>
            </c:rich>
          </c:tx>
          <c:layout>
            <c:manualLayout>
              <c:xMode val="edge"/>
              <c:yMode val="edge"/>
              <c:x val="0.46998052208338692"/>
              <c:y val="0.80806781834476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74952"/>
        <c:crosses val="autoZero"/>
        <c:auto val="1"/>
        <c:lblAlgn val="ctr"/>
        <c:lblOffset val="100"/>
        <c:noMultiLvlLbl val="0"/>
      </c:catAx>
      <c:valAx>
        <c:axId val="533374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Profit</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77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latin typeface="Times New Roman" panose="02020603050405020304" pitchFamily="18" charset="0"/>
                <a:cs typeface="Times New Roman" panose="02020603050405020304" pitchFamily="18" charset="0"/>
              </a:rPr>
              <a:t>TOP</a:t>
            </a:r>
            <a:r>
              <a:rPr lang="en-US" sz="1400" b="1" i="1" baseline="0">
                <a:latin typeface="Times New Roman" panose="02020603050405020304" pitchFamily="18" charset="0"/>
                <a:cs typeface="Times New Roman" panose="02020603050405020304" pitchFamily="18" charset="0"/>
              </a:rPr>
              <a:t> 5 STATES WITH HIGHEST PROFIT</a:t>
            </a:r>
            <a:endParaRPr lang="en-US" sz="1400" b="1"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Sheet'!$B$20</c:f>
              <c:strCache>
                <c:ptCount val="1"/>
                <c:pt idx="0">
                  <c:v>Total</c:v>
                </c:pt>
              </c:strCache>
            </c:strRef>
          </c:tx>
          <c:spPr>
            <a:solidFill>
              <a:schemeClr val="accent6"/>
            </a:solidFill>
            <a:ln>
              <a:noFill/>
            </a:ln>
            <a:effectLst/>
          </c:spPr>
          <c:invertIfNegative val="0"/>
          <c:cat>
            <c:strRef>
              <c:f>'Pivot Sheet'!$A$21:$A$26</c:f>
              <c:strCache>
                <c:ptCount val="5"/>
                <c:pt idx="0">
                  <c:v>Arizona</c:v>
                </c:pt>
                <c:pt idx="1">
                  <c:v>California</c:v>
                </c:pt>
                <c:pt idx="2">
                  <c:v>Kentucky</c:v>
                </c:pt>
                <c:pt idx="3">
                  <c:v>New York</c:v>
                </c:pt>
                <c:pt idx="4">
                  <c:v>Utah</c:v>
                </c:pt>
              </c:strCache>
            </c:strRef>
          </c:cat>
          <c:val>
            <c:numRef>
              <c:f>'Pivot Sheet'!$B$21:$B$26</c:f>
              <c:numCache>
                <c:formatCode>0.00</c:formatCode>
                <c:ptCount val="5"/>
                <c:pt idx="0">
                  <c:v>174.29040000000001</c:v>
                </c:pt>
                <c:pt idx="1">
                  <c:v>506.57220000000012</c:v>
                </c:pt>
                <c:pt idx="2">
                  <c:v>261.49559999999997</c:v>
                </c:pt>
                <c:pt idx="3">
                  <c:v>449.49650000000003</c:v>
                </c:pt>
                <c:pt idx="4">
                  <c:v>250.25490000000002</c:v>
                </c:pt>
              </c:numCache>
            </c:numRef>
          </c:val>
          <c:extLst>
            <c:ext xmlns:c16="http://schemas.microsoft.com/office/drawing/2014/chart" uri="{C3380CC4-5D6E-409C-BE32-E72D297353CC}">
              <c16:uniqueId val="{00000000-129C-4D61-A232-75C402DE6906}"/>
            </c:ext>
          </c:extLst>
        </c:ser>
        <c:dLbls>
          <c:showLegendKey val="0"/>
          <c:showVal val="0"/>
          <c:showCatName val="0"/>
          <c:showSerName val="0"/>
          <c:showPercent val="0"/>
          <c:showBubbleSize val="0"/>
        </c:dLbls>
        <c:gapWidth val="182"/>
        <c:axId val="559809112"/>
        <c:axId val="559809472"/>
      </c:barChart>
      <c:catAx>
        <c:axId val="5598091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9472"/>
        <c:crosses val="autoZero"/>
        <c:auto val="1"/>
        <c:lblAlgn val="ctr"/>
        <c:lblOffset val="100"/>
        <c:noMultiLvlLbl val="0"/>
      </c:catAx>
      <c:valAx>
        <c:axId val="559809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9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Total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a:effectLst/>
        </c:spPr>
      </c:pivotFmt>
      <c:pivotFmt>
        <c:idx val="2"/>
        <c:spPr>
          <a:solidFill>
            <a:srgbClr val="00B050"/>
          </a:solidFill>
          <a:ln>
            <a:solidFill>
              <a:srgbClr val="00B050"/>
            </a:solidFill>
          </a:ln>
          <a:effectLst/>
        </c:spPr>
      </c:pivotFmt>
      <c:pivotFmt>
        <c:idx val="3"/>
        <c:spPr>
          <a:solidFill>
            <a:srgbClr val="FF0000"/>
          </a:solidFill>
          <a:ln>
            <a:solidFill>
              <a:srgbClr val="FF0000"/>
            </a:solidFill>
          </a:ln>
          <a:effectLst/>
        </c:spPr>
      </c:pivotFmt>
    </c:pivotFmts>
    <c:plotArea>
      <c:layout/>
      <c:barChart>
        <c:barDir val="col"/>
        <c:grouping val="clustered"/>
        <c:varyColors val="0"/>
        <c:ser>
          <c:idx val="0"/>
          <c:order val="0"/>
          <c:tx>
            <c:strRef>
              <c:f>'Pivot Sheet'!$B$40</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solidFill>
                  <a:srgbClr val="FF0000"/>
                </a:solidFill>
              </a:ln>
              <a:effectLst/>
            </c:spPr>
            <c:extLst>
              <c:ext xmlns:c16="http://schemas.microsoft.com/office/drawing/2014/chart" uri="{C3380CC4-5D6E-409C-BE32-E72D297353CC}">
                <c16:uniqueId val="{00000004-AF20-4CE3-98CD-C21AEC16616D}"/>
              </c:ext>
            </c:extLst>
          </c:dPt>
          <c:dPt>
            <c:idx val="1"/>
            <c:invertIfNegative val="0"/>
            <c:bubble3D val="0"/>
            <c:spPr>
              <a:solidFill>
                <a:srgbClr val="00B050"/>
              </a:solidFill>
              <a:ln>
                <a:solidFill>
                  <a:srgbClr val="00B050"/>
                </a:solidFill>
              </a:ln>
              <a:effectLst/>
            </c:spPr>
            <c:extLst>
              <c:ext xmlns:c16="http://schemas.microsoft.com/office/drawing/2014/chart" uri="{C3380CC4-5D6E-409C-BE32-E72D297353CC}">
                <c16:uniqueId val="{00000002-AF20-4CE3-98CD-C21AEC16616D}"/>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3-AF20-4CE3-98CD-C21AEC16616D}"/>
              </c:ext>
            </c:extLst>
          </c:dPt>
          <c:cat>
            <c:strRef>
              <c:f>'Pivot Sheet'!$A$41:$A$44</c:f>
              <c:strCache>
                <c:ptCount val="3"/>
                <c:pt idx="0">
                  <c:v>Furniture</c:v>
                </c:pt>
                <c:pt idx="1">
                  <c:v>Office Supplies</c:v>
                </c:pt>
                <c:pt idx="2">
                  <c:v>Technology</c:v>
                </c:pt>
              </c:strCache>
            </c:strRef>
          </c:cat>
          <c:val>
            <c:numRef>
              <c:f>'Pivot Sheet'!$B$41:$B$44</c:f>
              <c:numCache>
                <c:formatCode>0.00</c:formatCode>
                <c:ptCount val="3"/>
                <c:pt idx="0">
                  <c:v>-1651.3463000000004</c:v>
                </c:pt>
                <c:pt idx="1">
                  <c:v>763.78710000000024</c:v>
                </c:pt>
                <c:pt idx="2">
                  <c:v>785.66849999999988</c:v>
                </c:pt>
              </c:numCache>
            </c:numRef>
          </c:val>
          <c:extLst>
            <c:ext xmlns:c16="http://schemas.microsoft.com/office/drawing/2014/chart" uri="{C3380CC4-5D6E-409C-BE32-E72D297353CC}">
              <c16:uniqueId val="{00000000-AF20-4CE3-98CD-C21AEC16616D}"/>
            </c:ext>
          </c:extLst>
        </c:ser>
        <c:dLbls>
          <c:showLegendKey val="0"/>
          <c:showVal val="0"/>
          <c:showCatName val="0"/>
          <c:showSerName val="0"/>
          <c:showPercent val="0"/>
          <c:showBubbleSize val="0"/>
        </c:dLbls>
        <c:gapWidth val="219"/>
        <c:overlap val="-27"/>
        <c:axId val="131831968"/>
        <c:axId val="567623552"/>
      </c:barChart>
      <c:catAx>
        <c:axId val="13183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23552"/>
        <c:crosses val="autoZero"/>
        <c:auto val="1"/>
        <c:lblAlgn val="ctr"/>
        <c:lblOffset val="100"/>
        <c:noMultiLvlLbl val="0"/>
      </c:catAx>
      <c:valAx>
        <c:axId val="56762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3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i="1">
                <a:latin typeface="Times New Roman" panose="02020603050405020304" pitchFamily="18" charset="0"/>
                <a:cs typeface="Times New Roman" panose="02020603050405020304" pitchFamily="18" charset="0"/>
              </a:rPr>
              <a:t>Total Sales</a:t>
            </a:r>
            <a:r>
              <a:rPr lang="en-US" sz="1600" i="1" baseline="0">
                <a:latin typeface="Times New Roman" panose="02020603050405020304" pitchFamily="18" charset="0"/>
                <a:cs typeface="Times New Roman" panose="02020603050405020304" pitchFamily="18" charset="0"/>
              </a:rPr>
              <a:t> by category</a:t>
            </a:r>
            <a:endParaRPr lang="en-US" sz="16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Sheet'!$B$55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Sheet'!$A$56:$A$59</c:f>
              <c:strCache>
                <c:ptCount val="3"/>
                <c:pt idx="0">
                  <c:v>Furniture</c:v>
                </c:pt>
                <c:pt idx="1">
                  <c:v>Office Supplies</c:v>
                </c:pt>
                <c:pt idx="2">
                  <c:v>Technology</c:v>
                </c:pt>
              </c:strCache>
            </c:strRef>
          </c:cat>
          <c:val>
            <c:numRef>
              <c:f>'Pivot Sheet'!$B$56:$B$59</c:f>
              <c:numCache>
                <c:formatCode>0.00</c:formatCode>
                <c:ptCount val="3"/>
                <c:pt idx="0">
                  <c:v>11083.779699999999</c:v>
                </c:pt>
                <c:pt idx="1">
                  <c:v>5233.9939999999997</c:v>
                </c:pt>
                <c:pt idx="2">
                  <c:v>5186.7579999999998</c:v>
                </c:pt>
              </c:numCache>
            </c:numRef>
          </c:val>
          <c:extLst>
            <c:ext xmlns:c16="http://schemas.microsoft.com/office/drawing/2014/chart" uri="{C3380CC4-5D6E-409C-BE32-E72D297353CC}">
              <c16:uniqueId val="{00000000-EC65-42C2-8FBC-476ED9E90323}"/>
            </c:ext>
          </c:extLst>
        </c:ser>
        <c:dLbls>
          <c:showLegendKey val="0"/>
          <c:showVal val="0"/>
          <c:showCatName val="0"/>
          <c:showSerName val="0"/>
          <c:showPercent val="0"/>
          <c:showBubbleSize val="0"/>
        </c:dLbls>
        <c:gapWidth val="164"/>
        <c:overlap val="-22"/>
        <c:axId val="573824096"/>
        <c:axId val="573825896"/>
      </c:barChart>
      <c:catAx>
        <c:axId val="573824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25896"/>
        <c:crosses val="autoZero"/>
        <c:auto val="1"/>
        <c:lblAlgn val="ctr"/>
        <c:lblOffset val="100"/>
        <c:noMultiLvlLbl val="0"/>
      </c:catAx>
      <c:valAx>
        <c:axId val="573825896"/>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[Superstore_Full_Excel_Project_3.xlsx]Pivot Sheet!PivotTable5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i="1">
                <a:latin typeface="Times New Roman" panose="02020603050405020304" pitchFamily="18" charset="0"/>
                <a:cs typeface="Times New Roman" panose="02020603050405020304" pitchFamily="18" charset="0"/>
              </a:rPr>
              <a:t>TOP</a:t>
            </a:r>
            <a:r>
              <a:rPr lang="en-US" sz="1600" i="1" baseline="0">
                <a:latin typeface="Times New Roman" panose="02020603050405020304" pitchFamily="18" charset="0"/>
                <a:cs typeface="Times New Roman" panose="02020603050405020304" pitchFamily="18" charset="0"/>
              </a:rPr>
              <a:t> 5 CUSTOMERS</a:t>
            </a:r>
            <a:endParaRPr lang="en-US" sz="1600" i="1">
              <a:latin typeface="Times New Roman" panose="02020603050405020304" pitchFamily="18" charset="0"/>
              <a:cs typeface="Times New Roman" panose="02020603050405020304" pitchFamily="18" charset="0"/>
            </a:endParaRPr>
          </a:p>
        </c:rich>
      </c:tx>
      <c:layout>
        <c:manualLayout>
          <c:xMode val="edge"/>
          <c:yMode val="edge"/>
          <c:x val="0.28759801294471699"/>
          <c:y val="0.10883078974395935"/>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Sheet'!$B$73</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cat>
            <c:strRef>
              <c:f>'Pivot Sheet'!$A$74:$A$79</c:f>
              <c:strCache>
                <c:ptCount val="5"/>
                <c:pt idx="0">
                  <c:v>Brendan Sweed</c:v>
                </c:pt>
                <c:pt idx="1">
                  <c:v>Brosina Hoffman</c:v>
                </c:pt>
                <c:pt idx="2">
                  <c:v>Gene Hale</c:v>
                </c:pt>
                <c:pt idx="3">
                  <c:v>Steve Nguyen</c:v>
                </c:pt>
                <c:pt idx="4">
                  <c:v>Tracy Blumstein</c:v>
                </c:pt>
              </c:strCache>
            </c:strRef>
          </c:cat>
          <c:val>
            <c:numRef>
              <c:f>'Pivot Sheet'!$B$74:$B$79</c:f>
              <c:numCache>
                <c:formatCode>0.00</c:formatCode>
                <c:ptCount val="5"/>
                <c:pt idx="0">
                  <c:v>1280.992</c:v>
                </c:pt>
                <c:pt idx="1">
                  <c:v>3714.3040000000001</c:v>
                </c:pt>
                <c:pt idx="2">
                  <c:v>1288.4640000000002</c:v>
                </c:pt>
                <c:pt idx="3">
                  <c:v>1228.9531999999999</c:v>
                </c:pt>
                <c:pt idx="4">
                  <c:v>3348.4840000000004</c:v>
                </c:pt>
              </c:numCache>
            </c:numRef>
          </c:val>
          <c:extLst>
            <c:ext xmlns:c16="http://schemas.microsoft.com/office/drawing/2014/chart" uri="{C3380CC4-5D6E-409C-BE32-E72D297353CC}">
              <c16:uniqueId val="{00000000-DBAF-4391-96E8-1ED503394E28}"/>
            </c:ext>
          </c:extLst>
        </c:ser>
        <c:dLbls>
          <c:showLegendKey val="0"/>
          <c:showVal val="0"/>
          <c:showCatName val="0"/>
          <c:showSerName val="0"/>
          <c:showPercent val="0"/>
          <c:showBubbleSize val="0"/>
        </c:dLbls>
        <c:gapWidth val="227"/>
        <c:overlap val="-48"/>
        <c:axId val="568194920"/>
        <c:axId val="568197080"/>
      </c:barChart>
      <c:catAx>
        <c:axId val="5681949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Customer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97080"/>
        <c:crosses val="autoZero"/>
        <c:auto val="1"/>
        <c:lblAlgn val="ctr"/>
        <c:lblOffset val="100"/>
        <c:noMultiLvlLbl val="0"/>
      </c:catAx>
      <c:valAx>
        <c:axId val="568197080"/>
        <c:scaling>
          <c:orientation val="minMax"/>
        </c:scaling>
        <c:delete val="0"/>
        <c:axPos val="b"/>
        <c:majorGridlines>
          <c:spPr>
            <a:ln>
              <a:solidFill>
                <a:schemeClr val="tx1">
                  <a:lumMod val="15000"/>
                  <a:lumOff val="85000"/>
                </a:schemeClr>
              </a:solidFill>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94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Sheet'!$B$93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Sheet'!$A$94:$A$98</c:f>
              <c:strCache>
                <c:ptCount val="4"/>
                <c:pt idx="0">
                  <c:v>2014</c:v>
                </c:pt>
                <c:pt idx="1">
                  <c:v>2015</c:v>
                </c:pt>
                <c:pt idx="2">
                  <c:v>2016</c:v>
                </c:pt>
                <c:pt idx="3">
                  <c:v>2017</c:v>
                </c:pt>
              </c:strCache>
            </c:strRef>
          </c:cat>
          <c:val>
            <c:numRef>
              <c:f>'Pivot Sheet'!$B$94:$B$98</c:f>
              <c:numCache>
                <c:formatCode>0.00</c:formatCode>
                <c:ptCount val="4"/>
                <c:pt idx="0">
                  <c:v>6228.9859999999999</c:v>
                </c:pt>
                <c:pt idx="1">
                  <c:v>8645.2796999999991</c:v>
                </c:pt>
                <c:pt idx="2">
                  <c:v>5501.8300000000008</c:v>
                </c:pt>
                <c:pt idx="3">
                  <c:v>1128.4359999999999</c:v>
                </c:pt>
              </c:numCache>
            </c:numRef>
          </c:val>
          <c:smooth val="0"/>
          <c:extLst>
            <c:ext xmlns:c16="http://schemas.microsoft.com/office/drawing/2014/chart" uri="{C3380CC4-5D6E-409C-BE32-E72D297353CC}">
              <c16:uniqueId val="{00000000-074A-4041-B53D-DDD41F7319EE}"/>
            </c:ext>
          </c:extLst>
        </c:ser>
        <c:dLbls>
          <c:showLegendKey val="0"/>
          <c:showVal val="0"/>
          <c:showCatName val="0"/>
          <c:showSerName val="0"/>
          <c:showPercent val="0"/>
          <c:showBubbleSize val="0"/>
        </c:dLbls>
        <c:marker val="1"/>
        <c:smooth val="0"/>
        <c:axId val="649775272"/>
        <c:axId val="649775632"/>
      </c:lineChart>
      <c:catAx>
        <c:axId val="649775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5632"/>
        <c:crosses val="autoZero"/>
        <c:auto val="1"/>
        <c:lblAlgn val="ctr"/>
        <c:lblOffset val="100"/>
        <c:noMultiLvlLbl val="0"/>
      </c:catAx>
      <c:valAx>
        <c:axId val="649775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5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i="1">
                <a:latin typeface="Times New Roman" panose="02020603050405020304" pitchFamily="18" charset="0"/>
                <a:cs typeface="Times New Roman" panose="02020603050405020304" pitchFamily="18" charset="0"/>
              </a:rPr>
              <a:t>Customer Segment Count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Sheet'!$B$109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Sheet'!$A$110:$A$113</c:f>
              <c:strCache>
                <c:ptCount val="3"/>
                <c:pt idx="0">
                  <c:v>Consumer</c:v>
                </c:pt>
                <c:pt idx="1">
                  <c:v>Corporate</c:v>
                </c:pt>
                <c:pt idx="2">
                  <c:v>Home Office</c:v>
                </c:pt>
              </c:strCache>
            </c:strRef>
          </c:cat>
          <c:val>
            <c:numRef>
              <c:f>'Pivot Sheet'!$B$110:$B$113</c:f>
              <c:numCache>
                <c:formatCode>General</c:formatCode>
                <c:ptCount val="3"/>
                <c:pt idx="0">
                  <c:v>63</c:v>
                </c:pt>
                <c:pt idx="1">
                  <c:v>24</c:v>
                </c:pt>
                <c:pt idx="2">
                  <c:v>13</c:v>
                </c:pt>
              </c:numCache>
            </c:numRef>
          </c:val>
          <c:extLst>
            <c:ext xmlns:c16="http://schemas.microsoft.com/office/drawing/2014/chart" uri="{C3380CC4-5D6E-409C-BE32-E72D297353CC}">
              <c16:uniqueId val="{00000000-1DEB-49C1-82B6-7553873EBB07}"/>
            </c:ext>
          </c:extLst>
        </c:ser>
        <c:dLbls>
          <c:showLegendKey val="0"/>
          <c:showVal val="0"/>
          <c:showCatName val="0"/>
          <c:showSerName val="0"/>
          <c:showPercent val="0"/>
          <c:showBubbleSize val="0"/>
        </c:dLbls>
        <c:gapWidth val="164"/>
        <c:overlap val="-22"/>
        <c:axId val="568200320"/>
        <c:axId val="568202840"/>
      </c:barChart>
      <c:catAx>
        <c:axId val="568200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Segment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02840"/>
        <c:crosses val="autoZero"/>
        <c:auto val="1"/>
        <c:lblAlgn val="ctr"/>
        <c:lblOffset val="100"/>
        <c:noMultiLvlLbl val="0"/>
      </c:catAx>
      <c:valAx>
        <c:axId val="568202840"/>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latin typeface="Times New Roman" panose="02020603050405020304" pitchFamily="18" charset="0"/>
                    <a:cs typeface="Times New Roman" panose="02020603050405020304" pitchFamily="18" charset="0"/>
                  </a:rPr>
                  <a:t>Number Of Segment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0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[Superstore_Full_Excel_Project_3.xlsx]Pivot Sheet!PivotTable8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i="1">
                <a:latin typeface="Times New Roman" panose="02020603050405020304" pitchFamily="18" charset="0"/>
                <a:cs typeface="Times New Roman" panose="02020603050405020304" pitchFamily="18" charset="0"/>
              </a:rPr>
              <a:t>AVG</a:t>
            </a:r>
            <a:r>
              <a:rPr lang="en-US" sz="1600" i="1" baseline="0">
                <a:latin typeface="Times New Roman" panose="02020603050405020304" pitchFamily="18" charset="0"/>
                <a:cs typeface="Times New Roman" panose="02020603050405020304" pitchFamily="18" charset="0"/>
              </a:rPr>
              <a:t> DISCOUNT BY CATEGORY</a:t>
            </a:r>
            <a:endParaRPr lang="en-US" sz="16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Sheet'!$B$126</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Sheet'!$A$127:$A$130</c:f>
              <c:strCache>
                <c:ptCount val="3"/>
                <c:pt idx="0">
                  <c:v>Furniture</c:v>
                </c:pt>
                <c:pt idx="1">
                  <c:v>Office Supplies</c:v>
                </c:pt>
                <c:pt idx="2">
                  <c:v>Technology</c:v>
                </c:pt>
              </c:strCache>
            </c:strRef>
          </c:cat>
          <c:val>
            <c:numRef>
              <c:f>'Pivot Sheet'!$B$127:$B$130</c:f>
              <c:numCache>
                <c:formatCode>0.00</c:formatCode>
                <c:ptCount val="3"/>
                <c:pt idx="0">
                  <c:v>0.20291666666666663</c:v>
                </c:pt>
                <c:pt idx="1">
                  <c:v>0.1516666666666667</c:v>
                </c:pt>
                <c:pt idx="2">
                  <c:v>9.9999999999999992E-2</c:v>
                </c:pt>
              </c:numCache>
            </c:numRef>
          </c:val>
          <c:extLst>
            <c:ext xmlns:c16="http://schemas.microsoft.com/office/drawing/2014/chart" uri="{C3380CC4-5D6E-409C-BE32-E72D297353CC}">
              <c16:uniqueId val="{00000000-B20B-4174-B27C-5EE7DDFBAF0C}"/>
            </c:ext>
          </c:extLst>
        </c:ser>
        <c:dLbls>
          <c:showLegendKey val="0"/>
          <c:showVal val="0"/>
          <c:showCatName val="0"/>
          <c:showSerName val="0"/>
          <c:showPercent val="0"/>
          <c:showBubbleSize val="0"/>
        </c:dLbls>
        <c:gapWidth val="164"/>
        <c:overlap val="-22"/>
        <c:axId val="567344584"/>
        <c:axId val="567344944"/>
      </c:barChart>
      <c:catAx>
        <c:axId val="5673445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44944"/>
        <c:crosses val="autoZero"/>
        <c:auto val="1"/>
        <c:lblAlgn val="ctr"/>
        <c:lblOffset val="100"/>
        <c:noMultiLvlLbl val="0"/>
      </c:catAx>
      <c:valAx>
        <c:axId val="567344944"/>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Discount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44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Sheet!PivotTable9</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i="1">
                <a:latin typeface="Times New Roman" panose="02020603050405020304" pitchFamily="18" charset="0"/>
                <a:cs typeface="Times New Roman" panose="02020603050405020304" pitchFamily="18" charset="0"/>
              </a:rPr>
              <a:t>AVG</a:t>
            </a:r>
            <a:r>
              <a:rPr lang="en-US" sz="1600" i="1" baseline="0">
                <a:latin typeface="Times New Roman" panose="02020603050405020304" pitchFamily="18" charset="0"/>
                <a:cs typeface="Times New Roman" panose="02020603050405020304" pitchFamily="18" charset="0"/>
              </a:rPr>
              <a:t> AND COUNT OF SHIP MODE</a:t>
            </a:r>
            <a:endParaRPr lang="en-US" sz="1600"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Sheet'!$B$143</c:f>
              <c:strCache>
                <c:ptCount val="1"/>
                <c:pt idx="0">
                  <c:v>Count of Days Before Shipment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Sheet'!$A$144:$A$147</c:f>
              <c:strCache>
                <c:ptCount val="3"/>
                <c:pt idx="0">
                  <c:v>First Class</c:v>
                </c:pt>
                <c:pt idx="1">
                  <c:v>Second Class</c:v>
                </c:pt>
                <c:pt idx="2">
                  <c:v>Standard Class</c:v>
                </c:pt>
              </c:strCache>
            </c:strRef>
          </c:cat>
          <c:val>
            <c:numRef>
              <c:f>'Pivot Sheet'!$B$144:$B$147</c:f>
              <c:numCache>
                <c:formatCode>General</c:formatCode>
                <c:ptCount val="3"/>
                <c:pt idx="0">
                  <c:v>19</c:v>
                </c:pt>
                <c:pt idx="1">
                  <c:v>20</c:v>
                </c:pt>
                <c:pt idx="2">
                  <c:v>61</c:v>
                </c:pt>
              </c:numCache>
            </c:numRef>
          </c:val>
          <c:extLst>
            <c:ext xmlns:c16="http://schemas.microsoft.com/office/drawing/2014/chart" uri="{C3380CC4-5D6E-409C-BE32-E72D297353CC}">
              <c16:uniqueId val="{00000000-4A4E-47C0-AB44-57839FFC4734}"/>
            </c:ext>
          </c:extLst>
        </c:ser>
        <c:ser>
          <c:idx val="1"/>
          <c:order val="1"/>
          <c:tx>
            <c:strRef>
              <c:f>'Pivot Sheet'!$C$143</c:f>
              <c:strCache>
                <c:ptCount val="1"/>
                <c:pt idx="0">
                  <c:v>Average of Days Before Shipment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Sheet'!$A$144:$A$147</c:f>
              <c:strCache>
                <c:ptCount val="3"/>
                <c:pt idx="0">
                  <c:v>First Class</c:v>
                </c:pt>
                <c:pt idx="1">
                  <c:v>Second Class</c:v>
                </c:pt>
                <c:pt idx="2">
                  <c:v>Standard Class</c:v>
                </c:pt>
              </c:strCache>
            </c:strRef>
          </c:cat>
          <c:val>
            <c:numRef>
              <c:f>'Pivot Sheet'!$C$144:$C$147</c:f>
              <c:numCache>
                <c:formatCode>0</c:formatCode>
                <c:ptCount val="3"/>
                <c:pt idx="0">
                  <c:v>1.8421052631578947</c:v>
                </c:pt>
                <c:pt idx="1">
                  <c:v>3.9</c:v>
                </c:pt>
                <c:pt idx="2">
                  <c:v>4.9508196721311473</c:v>
                </c:pt>
              </c:numCache>
            </c:numRef>
          </c:val>
          <c:extLst>
            <c:ext xmlns:c16="http://schemas.microsoft.com/office/drawing/2014/chart" uri="{C3380CC4-5D6E-409C-BE32-E72D297353CC}">
              <c16:uniqueId val="{00000001-4A4E-47C0-AB44-57839FFC4734}"/>
            </c:ext>
          </c:extLst>
        </c:ser>
        <c:dLbls>
          <c:showLegendKey val="0"/>
          <c:showVal val="0"/>
          <c:showCatName val="0"/>
          <c:showSerName val="0"/>
          <c:showPercent val="0"/>
          <c:showBubbleSize val="0"/>
        </c:dLbls>
        <c:gapWidth val="164"/>
        <c:overlap val="-22"/>
        <c:axId val="533382152"/>
        <c:axId val="533377832"/>
      </c:barChart>
      <c:catAx>
        <c:axId val="533382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Ship Mode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77832"/>
        <c:crosses val="autoZero"/>
        <c:auto val="1"/>
        <c:lblAlgn val="ctr"/>
        <c:lblOffset val="100"/>
        <c:noMultiLvlLbl val="0"/>
      </c:catAx>
      <c:valAx>
        <c:axId val="533377832"/>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latin typeface="Times New Roman" panose="02020603050405020304" pitchFamily="18" charset="0"/>
                    <a:cs typeface="Times New Roman" panose="02020603050405020304" pitchFamily="18" charset="0"/>
                  </a:rPr>
                  <a:t>Number Of Count/Days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82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TOP</a:t>
            </a:r>
            <a:r>
              <a:rPr lang="en-US" sz="1600" b="1" i="1" baseline="0">
                <a:latin typeface="Times New Roman" panose="02020603050405020304" pitchFamily="18" charset="0"/>
                <a:cs typeface="Times New Roman" panose="02020603050405020304" pitchFamily="18" charset="0"/>
              </a:rPr>
              <a:t> 5 STATES WITH HIGHEST PROFIT</a:t>
            </a:r>
            <a:endParaRPr lang="en-US" sz="1600" b="1"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Sheet'!$B$20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Sheet'!$A$21:$A$26</c:f>
              <c:strCache>
                <c:ptCount val="5"/>
                <c:pt idx="0">
                  <c:v>Arizona</c:v>
                </c:pt>
                <c:pt idx="1">
                  <c:v>California</c:v>
                </c:pt>
                <c:pt idx="2">
                  <c:v>Kentucky</c:v>
                </c:pt>
                <c:pt idx="3">
                  <c:v>New York</c:v>
                </c:pt>
                <c:pt idx="4">
                  <c:v>Utah</c:v>
                </c:pt>
              </c:strCache>
            </c:strRef>
          </c:cat>
          <c:val>
            <c:numRef>
              <c:f>'Pivot Sheet'!$B$21:$B$26</c:f>
              <c:numCache>
                <c:formatCode>0.00</c:formatCode>
                <c:ptCount val="5"/>
                <c:pt idx="0">
                  <c:v>174.29040000000001</c:v>
                </c:pt>
                <c:pt idx="1">
                  <c:v>506.57220000000012</c:v>
                </c:pt>
                <c:pt idx="2">
                  <c:v>261.49559999999997</c:v>
                </c:pt>
                <c:pt idx="3">
                  <c:v>449.49650000000003</c:v>
                </c:pt>
                <c:pt idx="4">
                  <c:v>250.25490000000002</c:v>
                </c:pt>
              </c:numCache>
            </c:numRef>
          </c:val>
          <c:extLst>
            <c:ext xmlns:c16="http://schemas.microsoft.com/office/drawing/2014/chart" uri="{C3380CC4-5D6E-409C-BE32-E72D297353CC}">
              <c16:uniqueId val="{00000000-A4B8-4C5D-9D20-8F9070077A28}"/>
            </c:ext>
          </c:extLst>
        </c:ser>
        <c:dLbls>
          <c:dLblPos val="outEnd"/>
          <c:showLegendKey val="0"/>
          <c:showVal val="1"/>
          <c:showCatName val="0"/>
          <c:showSerName val="0"/>
          <c:showPercent val="0"/>
          <c:showBubbleSize val="0"/>
        </c:dLbls>
        <c:gapWidth val="182"/>
        <c:axId val="559809112"/>
        <c:axId val="559809472"/>
      </c:barChart>
      <c:catAx>
        <c:axId val="5598091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9472"/>
        <c:crosses val="autoZero"/>
        <c:auto val="1"/>
        <c:lblAlgn val="ctr"/>
        <c:lblOffset val="100"/>
        <c:noMultiLvlLbl val="0"/>
      </c:catAx>
      <c:valAx>
        <c:axId val="559809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09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Total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00B050"/>
            </a:solidFill>
          </a:ln>
          <a:effectLst/>
        </c:spPr>
      </c:pivotFmt>
      <c:pivotFmt>
        <c:idx val="2"/>
        <c:spPr>
          <a:solidFill>
            <a:srgbClr val="00B050"/>
          </a:solidFill>
          <a:ln>
            <a:solidFill>
              <a:srgbClr val="00B050"/>
            </a:solidFill>
          </a:ln>
          <a:effectLst/>
        </c:spPr>
      </c:pivotFmt>
      <c:pivotFmt>
        <c:idx val="3"/>
        <c:spPr>
          <a:solidFill>
            <a:srgbClr val="FF0000"/>
          </a:solidFill>
          <a:ln>
            <a:solidFill>
              <a:srgbClr val="FF0000"/>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solidFill>
              <a:srgbClr val="FF0000"/>
            </a:solidFill>
          </a:ln>
          <a:effectLst/>
        </c:spPr>
      </c:pivotFmt>
      <c:pivotFmt>
        <c:idx val="6"/>
        <c:spPr>
          <a:solidFill>
            <a:srgbClr val="00B050"/>
          </a:solidFill>
          <a:ln>
            <a:solidFill>
              <a:srgbClr val="00B050"/>
            </a:solidFill>
          </a:ln>
          <a:effectLst/>
        </c:spPr>
      </c:pivotFmt>
      <c:pivotFmt>
        <c:idx val="7"/>
        <c:spPr>
          <a:solidFill>
            <a:srgbClr val="00B050"/>
          </a:solidFill>
          <a:ln>
            <a:solidFill>
              <a:srgbClr val="00B050"/>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rgbClr val="FF0000"/>
            </a:solidFill>
          </a:ln>
          <a:effectLst/>
        </c:spPr>
      </c:pivotFmt>
      <c:pivotFmt>
        <c:idx val="10"/>
        <c:spPr>
          <a:solidFill>
            <a:srgbClr val="00B050"/>
          </a:solidFill>
          <a:ln>
            <a:solidFill>
              <a:srgbClr val="00B050"/>
            </a:solidFill>
          </a:ln>
          <a:effectLst/>
        </c:spPr>
      </c:pivotFmt>
      <c:pivotFmt>
        <c:idx val="11"/>
        <c:spPr>
          <a:solidFill>
            <a:srgbClr val="00B050"/>
          </a:solidFill>
          <a:ln>
            <a:solidFill>
              <a:srgbClr val="00B050"/>
            </a:solidFill>
          </a:ln>
          <a:effectLst/>
        </c:spPr>
      </c:pivotFmt>
    </c:pivotFmts>
    <c:plotArea>
      <c:layout/>
      <c:barChart>
        <c:barDir val="col"/>
        <c:grouping val="clustered"/>
        <c:varyColors val="0"/>
        <c:ser>
          <c:idx val="0"/>
          <c:order val="0"/>
          <c:tx>
            <c:strRef>
              <c:f>'Pivot Sheet'!$B$40</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solidFill>
                  <a:srgbClr val="FF0000"/>
                </a:solidFill>
              </a:ln>
              <a:effectLst/>
            </c:spPr>
            <c:extLst>
              <c:ext xmlns:c16="http://schemas.microsoft.com/office/drawing/2014/chart" uri="{C3380CC4-5D6E-409C-BE32-E72D297353CC}">
                <c16:uniqueId val="{00000001-24B2-45B0-8A83-9BBEA3D84F81}"/>
              </c:ext>
            </c:extLst>
          </c:dPt>
          <c:dPt>
            <c:idx val="1"/>
            <c:invertIfNegative val="0"/>
            <c:bubble3D val="0"/>
            <c:spPr>
              <a:solidFill>
                <a:srgbClr val="00B050"/>
              </a:solidFill>
              <a:ln>
                <a:solidFill>
                  <a:srgbClr val="00B050"/>
                </a:solidFill>
              </a:ln>
              <a:effectLst/>
            </c:spPr>
            <c:extLst>
              <c:ext xmlns:c16="http://schemas.microsoft.com/office/drawing/2014/chart" uri="{C3380CC4-5D6E-409C-BE32-E72D297353CC}">
                <c16:uniqueId val="{00000003-24B2-45B0-8A83-9BBEA3D84F81}"/>
              </c:ext>
            </c:extLst>
          </c:dPt>
          <c:dPt>
            <c:idx val="2"/>
            <c:invertIfNegative val="0"/>
            <c:bubble3D val="0"/>
            <c:spPr>
              <a:solidFill>
                <a:srgbClr val="00B050"/>
              </a:solidFill>
              <a:ln>
                <a:solidFill>
                  <a:srgbClr val="00B050"/>
                </a:solidFill>
              </a:ln>
              <a:effectLst/>
            </c:spPr>
            <c:extLst>
              <c:ext xmlns:c16="http://schemas.microsoft.com/office/drawing/2014/chart" uri="{C3380CC4-5D6E-409C-BE32-E72D297353CC}">
                <c16:uniqueId val="{00000005-24B2-45B0-8A83-9BBEA3D84F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Sheet'!$A$41:$A$44</c:f>
              <c:strCache>
                <c:ptCount val="3"/>
                <c:pt idx="0">
                  <c:v>Furniture</c:v>
                </c:pt>
                <c:pt idx="1">
                  <c:v>Office Supplies</c:v>
                </c:pt>
                <c:pt idx="2">
                  <c:v>Technology</c:v>
                </c:pt>
              </c:strCache>
            </c:strRef>
          </c:cat>
          <c:val>
            <c:numRef>
              <c:f>'Pivot Sheet'!$B$41:$B$44</c:f>
              <c:numCache>
                <c:formatCode>0.00</c:formatCode>
                <c:ptCount val="3"/>
                <c:pt idx="0">
                  <c:v>-1651.3463000000004</c:v>
                </c:pt>
                <c:pt idx="1">
                  <c:v>763.78710000000024</c:v>
                </c:pt>
                <c:pt idx="2">
                  <c:v>785.66849999999988</c:v>
                </c:pt>
              </c:numCache>
            </c:numRef>
          </c:val>
          <c:extLst>
            <c:ext xmlns:c16="http://schemas.microsoft.com/office/drawing/2014/chart" uri="{C3380CC4-5D6E-409C-BE32-E72D297353CC}">
              <c16:uniqueId val="{00000006-24B2-45B0-8A83-9BBEA3D84F81}"/>
            </c:ext>
          </c:extLst>
        </c:ser>
        <c:dLbls>
          <c:dLblPos val="outEnd"/>
          <c:showLegendKey val="0"/>
          <c:showVal val="1"/>
          <c:showCatName val="0"/>
          <c:showSerName val="0"/>
          <c:showPercent val="0"/>
          <c:showBubbleSize val="0"/>
        </c:dLbls>
        <c:gapWidth val="219"/>
        <c:overlap val="-27"/>
        <c:axId val="131831968"/>
        <c:axId val="567623552"/>
      </c:barChart>
      <c:catAx>
        <c:axId val="13183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23552"/>
        <c:crosses val="autoZero"/>
        <c:auto val="1"/>
        <c:lblAlgn val="ctr"/>
        <c:lblOffset val="100"/>
        <c:noMultiLvlLbl val="0"/>
      </c:catAx>
      <c:valAx>
        <c:axId val="567623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3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[Superstore_Full_Excel_Project_3.xlsx]Pivot Sheet!PivotTable5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latin typeface="Times New Roman" panose="02020603050405020304" pitchFamily="18" charset="0"/>
                <a:cs typeface="Times New Roman" panose="02020603050405020304" pitchFamily="18" charset="0"/>
              </a:rPr>
              <a:t>TOP 5 CUSTOMERS</a:t>
            </a:r>
          </a:p>
        </c:rich>
      </c:tx>
      <c:layout>
        <c:manualLayout>
          <c:xMode val="edge"/>
          <c:yMode val="edge"/>
          <c:x val="0.3786795527618152"/>
          <c:y val="6.85489020892487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Sheet'!$B$73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Sheet'!$A$74:$A$79</c:f>
              <c:strCache>
                <c:ptCount val="5"/>
                <c:pt idx="0">
                  <c:v>Brendan Sweed</c:v>
                </c:pt>
                <c:pt idx="1">
                  <c:v>Brosina Hoffman</c:v>
                </c:pt>
                <c:pt idx="2">
                  <c:v>Gene Hale</c:v>
                </c:pt>
                <c:pt idx="3">
                  <c:v>Steve Nguyen</c:v>
                </c:pt>
                <c:pt idx="4">
                  <c:v>Tracy Blumstein</c:v>
                </c:pt>
              </c:strCache>
            </c:strRef>
          </c:cat>
          <c:val>
            <c:numRef>
              <c:f>'Pivot Sheet'!$B$74:$B$79</c:f>
              <c:numCache>
                <c:formatCode>0.00</c:formatCode>
                <c:ptCount val="5"/>
                <c:pt idx="0">
                  <c:v>1280.992</c:v>
                </c:pt>
                <c:pt idx="1">
                  <c:v>3714.3040000000001</c:v>
                </c:pt>
                <c:pt idx="2">
                  <c:v>1288.4640000000002</c:v>
                </c:pt>
                <c:pt idx="3">
                  <c:v>1228.9531999999999</c:v>
                </c:pt>
                <c:pt idx="4">
                  <c:v>3348.4840000000004</c:v>
                </c:pt>
              </c:numCache>
            </c:numRef>
          </c:val>
          <c:extLst>
            <c:ext xmlns:c16="http://schemas.microsoft.com/office/drawing/2014/chart" uri="{C3380CC4-5D6E-409C-BE32-E72D297353CC}">
              <c16:uniqueId val="{00000001-464D-44C8-B2B2-4DBDDA286698}"/>
            </c:ext>
          </c:extLst>
        </c:ser>
        <c:dLbls>
          <c:dLblPos val="outEnd"/>
          <c:showLegendKey val="0"/>
          <c:showVal val="1"/>
          <c:showCatName val="0"/>
          <c:showSerName val="0"/>
          <c:showPercent val="0"/>
          <c:showBubbleSize val="0"/>
        </c:dLbls>
        <c:gapWidth val="182"/>
        <c:axId val="568194920"/>
        <c:axId val="568197080"/>
      </c:barChart>
      <c:catAx>
        <c:axId val="568194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97080"/>
        <c:crosses val="autoZero"/>
        <c:auto val="1"/>
        <c:lblAlgn val="ctr"/>
        <c:lblOffset val="100"/>
        <c:noMultiLvlLbl val="0"/>
      </c:catAx>
      <c:valAx>
        <c:axId val="56819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94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[Superstore_Full_Excel_Project_3.xlsx]Pivot Sheet!PivotTable6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latin typeface="Times New Roman" panose="02020603050405020304" pitchFamily="18" charset="0"/>
                <a:cs typeface="Times New Roman" panose="02020603050405020304" pitchFamily="18" charset="0"/>
              </a:rPr>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Sheet'!$B$93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Sheet'!$A$94:$A$98</c:f>
              <c:strCache>
                <c:ptCount val="4"/>
                <c:pt idx="0">
                  <c:v>2014</c:v>
                </c:pt>
                <c:pt idx="1">
                  <c:v>2015</c:v>
                </c:pt>
                <c:pt idx="2">
                  <c:v>2016</c:v>
                </c:pt>
                <c:pt idx="3">
                  <c:v>2017</c:v>
                </c:pt>
              </c:strCache>
            </c:strRef>
          </c:cat>
          <c:val>
            <c:numRef>
              <c:f>'Pivot Sheet'!$B$94:$B$98</c:f>
              <c:numCache>
                <c:formatCode>0.00</c:formatCode>
                <c:ptCount val="4"/>
                <c:pt idx="0">
                  <c:v>6228.9859999999999</c:v>
                </c:pt>
                <c:pt idx="1">
                  <c:v>8645.2796999999991</c:v>
                </c:pt>
                <c:pt idx="2">
                  <c:v>5501.8300000000008</c:v>
                </c:pt>
                <c:pt idx="3">
                  <c:v>1128.4359999999999</c:v>
                </c:pt>
              </c:numCache>
            </c:numRef>
          </c:val>
          <c:smooth val="0"/>
          <c:extLst>
            <c:ext xmlns:c16="http://schemas.microsoft.com/office/drawing/2014/chart" uri="{C3380CC4-5D6E-409C-BE32-E72D297353CC}">
              <c16:uniqueId val="{00000001-67C7-4E7A-A892-2339AAB96871}"/>
            </c:ext>
          </c:extLst>
        </c:ser>
        <c:dLbls>
          <c:dLblPos val="t"/>
          <c:showLegendKey val="0"/>
          <c:showVal val="1"/>
          <c:showCatName val="0"/>
          <c:showSerName val="0"/>
          <c:showPercent val="0"/>
          <c:showBubbleSize val="0"/>
        </c:dLbls>
        <c:marker val="1"/>
        <c:smooth val="0"/>
        <c:axId val="649775272"/>
        <c:axId val="649775632"/>
      </c:lineChart>
      <c:catAx>
        <c:axId val="649775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Times New Roman" panose="02020603050405020304" pitchFamily="18" charset="0"/>
                    <a:cs typeface="Times New Roman" panose="02020603050405020304" pitchFamily="18" charset="0"/>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5632"/>
        <c:crosses val="autoZero"/>
        <c:auto val="1"/>
        <c:lblAlgn val="ctr"/>
        <c:lblOffset val="100"/>
        <c:noMultiLvlLbl val="0"/>
      </c:catAx>
      <c:valAx>
        <c:axId val="649775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775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99479</xdr:colOff>
      <xdr:row>1</xdr:row>
      <xdr:rowOff>35216</xdr:rowOff>
    </xdr:from>
    <xdr:to>
      <xdr:col>11</xdr:col>
      <xdr:colOff>114886</xdr:colOff>
      <xdr:row>16</xdr:row>
      <xdr:rowOff>0</xdr:rowOff>
    </xdr:to>
    <xdr:graphicFrame macro="">
      <xdr:nvGraphicFramePr>
        <xdr:cNvPr id="2" name="Chart 1">
          <a:extLst>
            <a:ext uri="{FF2B5EF4-FFF2-40B4-BE49-F238E27FC236}">
              <a16:creationId xmlns:a16="http://schemas.microsoft.com/office/drawing/2014/main" id="{E5358A25-5143-D037-637E-DC53F0FC6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17</xdr:row>
      <xdr:rowOff>169335</xdr:rowOff>
    </xdr:from>
    <xdr:to>
      <xdr:col>10</xdr:col>
      <xdr:colOff>601222</xdr:colOff>
      <xdr:row>32</xdr:row>
      <xdr:rowOff>31750</xdr:rowOff>
    </xdr:to>
    <xdr:graphicFrame macro="">
      <xdr:nvGraphicFramePr>
        <xdr:cNvPr id="3" name="Chart 2">
          <a:extLst>
            <a:ext uri="{FF2B5EF4-FFF2-40B4-BE49-F238E27FC236}">
              <a16:creationId xmlns:a16="http://schemas.microsoft.com/office/drawing/2014/main" id="{14A97BB1-9C89-47D4-088B-CC565D1B3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xdr:colOff>
      <xdr:row>33</xdr:row>
      <xdr:rowOff>84758</xdr:rowOff>
    </xdr:from>
    <xdr:to>
      <xdr:col>10</xdr:col>
      <xdr:colOff>106293</xdr:colOff>
      <xdr:row>48</xdr:row>
      <xdr:rowOff>92397</xdr:rowOff>
    </xdr:to>
    <xdr:graphicFrame macro="">
      <xdr:nvGraphicFramePr>
        <xdr:cNvPr id="6" name="Chart 5">
          <a:extLst>
            <a:ext uri="{FF2B5EF4-FFF2-40B4-BE49-F238E27FC236}">
              <a16:creationId xmlns:a16="http://schemas.microsoft.com/office/drawing/2014/main" id="{6BF26E21-A248-8DDE-12AA-B0F76712B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546100</xdr:colOff>
      <xdr:row>54</xdr:row>
      <xdr:rowOff>6350</xdr:rowOff>
    </xdr:from>
    <xdr:to>
      <xdr:col>10</xdr:col>
      <xdr:colOff>241300</xdr:colOff>
      <xdr:row>68</xdr:row>
      <xdr:rowOff>171450</xdr:rowOff>
    </xdr:to>
    <xdr:graphicFrame macro="">
      <xdr:nvGraphicFramePr>
        <xdr:cNvPr id="7" name="Chart 6">
          <a:extLst>
            <a:ext uri="{FF2B5EF4-FFF2-40B4-BE49-F238E27FC236}">
              <a16:creationId xmlns:a16="http://schemas.microsoft.com/office/drawing/2014/main" id="{6D4FC36C-5ACC-D735-B432-62A19DDEA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xdr:colOff>
      <xdr:row>71</xdr:row>
      <xdr:rowOff>165100</xdr:rowOff>
    </xdr:from>
    <xdr:to>
      <xdr:col>10</xdr:col>
      <xdr:colOff>596900</xdr:colOff>
      <xdr:row>86</xdr:row>
      <xdr:rowOff>177800</xdr:rowOff>
    </xdr:to>
    <xdr:graphicFrame macro="">
      <xdr:nvGraphicFramePr>
        <xdr:cNvPr id="8" name="Chart 7">
          <a:extLst>
            <a:ext uri="{FF2B5EF4-FFF2-40B4-BE49-F238E27FC236}">
              <a16:creationId xmlns:a16="http://schemas.microsoft.com/office/drawing/2014/main" id="{6F70C592-ED10-BEC6-1143-1DBD9507F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xdr:colOff>
      <xdr:row>88</xdr:row>
      <xdr:rowOff>152400</xdr:rowOff>
    </xdr:from>
    <xdr:to>
      <xdr:col>10</xdr:col>
      <xdr:colOff>317500</xdr:colOff>
      <xdr:row>103</xdr:row>
      <xdr:rowOff>133350</xdr:rowOff>
    </xdr:to>
    <xdr:graphicFrame macro="">
      <xdr:nvGraphicFramePr>
        <xdr:cNvPr id="9" name="Chart 8">
          <a:extLst>
            <a:ext uri="{FF2B5EF4-FFF2-40B4-BE49-F238E27FC236}">
              <a16:creationId xmlns:a16="http://schemas.microsoft.com/office/drawing/2014/main" id="{1C16C871-AF7D-591F-6F1A-2E41B0149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571500</xdr:colOff>
      <xdr:row>105</xdr:row>
      <xdr:rowOff>152400</xdr:rowOff>
    </xdr:from>
    <xdr:to>
      <xdr:col>10</xdr:col>
      <xdr:colOff>266700</xdr:colOff>
      <xdr:row>120</xdr:row>
      <xdr:rowOff>133350</xdr:rowOff>
    </xdr:to>
    <xdr:graphicFrame macro="">
      <xdr:nvGraphicFramePr>
        <xdr:cNvPr id="10" name="Chart 9">
          <a:extLst>
            <a:ext uri="{FF2B5EF4-FFF2-40B4-BE49-F238E27FC236}">
              <a16:creationId xmlns:a16="http://schemas.microsoft.com/office/drawing/2014/main" id="{BEC1321C-F77B-4289-724F-EF521E060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1099255</xdr:colOff>
      <xdr:row>124</xdr:row>
      <xdr:rowOff>16934</xdr:rowOff>
    </xdr:from>
    <xdr:to>
      <xdr:col>8</xdr:col>
      <xdr:colOff>592667</xdr:colOff>
      <xdr:row>138</xdr:row>
      <xdr:rowOff>181328</xdr:rowOff>
    </xdr:to>
    <xdr:graphicFrame macro="">
      <xdr:nvGraphicFramePr>
        <xdr:cNvPr id="11" name="Chart 10">
          <a:extLst>
            <a:ext uri="{FF2B5EF4-FFF2-40B4-BE49-F238E27FC236}">
              <a16:creationId xmlns:a16="http://schemas.microsoft.com/office/drawing/2014/main" id="{62DED209-A966-76BC-B143-C0CDD4095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214490</xdr:colOff>
      <xdr:row>140</xdr:row>
      <xdr:rowOff>148873</xdr:rowOff>
    </xdr:from>
    <xdr:to>
      <xdr:col>11</xdr:col>
      <xdr:colOff>267407</xdr:colOff>
      <xdr:row>157</xdr:row>
      <xdr:rowOff>59973</xdr:rowOff>
    </xdr:to>
    <xdr:graphicFrame macro="">
      <xdr:nvGraphicFramePr>
        <xdr:cNvPr id="12" name="Chart 11">
          <a:extLst>
            <a:ext uri="{FF2B5EF4-FFF2-40B4-BE49-F238E27FC236}">
              <a16:creationId xmlns:a16="http://schemas.microsoft.com/office/drawing/2014/main" id="{94343955-6CFF-DE53-D681-0B2AB2CBE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12700</xdr:colOff>
      <xdr:row>40</xdr:row>
      <xdr:rowOff>165101</xdr:rowOff>
    </xdr:from>
    <xdr:to>
      <xdr:col>34</xdr:col>
      <xdr:colOff>596899</xdr:colOff>
      <xdr:row>64</xdr:row>
      <xdr:rowOff>177801</xdr:rowOff>
    </xdr:to>
    <xdr:graphicFrame macro="">
      <xdr:nvGraphicFramePr>
        <xdr:cNvPr id="3" name="Chart 2">
          <a:extLst>
            <a:ext uri="{FF2B5EF4-FFF2-40B4-BE49-F238E27FC236}">
              <a16:creationId xmlns:a16="http://schemas.microsoft.com/office/drawing/2014/main" id="{C45B6EA0-BB8C-4CD4-9DD9-5E02D20F6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xdr:colOff>
      <xdr:row>15</xdr:row>
      <xdr:rowOff>1</xdr:rowOff>
    </xdr:from>
    <xdr:to>
      <xdr:col>22</xdr:col>
      <xdr:colOff>596899</xdr:colOff>
      <xdr:row>39</xdr:row>
      <xdr:rowOff>177801</xdr:rowOff>
    </xdr:to>
    <xdr:graphicFrame macro="">
      <xdr:nvGraphicFramePr>
        <xdr:cNvPr id="4" name="Chart 3">
          <a:extLst>
            <a:ext uri="{FF2B5EF4-FFF2-40B4-BE49-F238E27FC236}">
              <a16:creationId xmlns:a16="http://schemas.microsoft.com/office/drawing/2014/main" id="{E9EC019F-83AC-469A-A990-BF4F2AA5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12700</xdr:colOff>
      <xdr:row>14</xdr:row>
      <xdr:rowOff>185736</xdr:rowOff>
    </xdr:from>
    <xdr:to>
      <xdr:col>35</xdr:col>
      <xdr:colOff>-1</xdr:colOff>
      <xdr:row>39</xdr:row>
      <xdr:rowOff>152400</xdr:rowOff>
    </xdr:to>
    <xdr:graphicFrame macro="">
      <xdr:nvGraphicFramePr>
        <xdr:cNvPr id="6" name="Chart 5">
          <a:extLst>
            <a:ext uri="{FF2B5EF4-FFF2-40B4-BE49-F238E27FC236}">
              <a16:creationId xmlns:a16="http://schemas.microsoft.com/office/drawing/2014/main" id="{495C3D52-5A8C-4C9D-BAF4-DF07692E0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xdr:colOff>
      <xdr:row>41</xdr:row>
      <xdr:rowOff>0</xdr:rowOff>
    </xdr:from>
    <xdr:to>
      <xdr:col>22</xdr:col>
      <xdr:colOff>596900</xdr:colOff>
      <xdr:row>64</xdr:row>
      <xdr:rowOff>177800</xdr:rowOff>
    </xdr:to>
    <xdr:graphicFrame macro="">
      <xdr:nvGraphicFramePr>
        <xdr:cNvPr id="7" name="Chart 6">
          <a:extLst>
            <a:ext uri="{FF2B5EF4-FFF2-40B4-BE49-F238E27FC236}">
              <a16:creationId xmlns:a16="http://schemas.microsoft.com/office/drawing/2014/main" id="{971A88DB-3754-4756-BEF0-4A6DB3C92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9072</xdr:colOff>
      <xdr:row>27</xdr:row>
      <xdr:rowOff>88296</xdr:rowOff>
    </xdr:from>
    <xdr:to>
      <xdr:col>10</xdr:col>
      <xdr:colOff>596900</xdr:colOff>
      <xdr:row>34</xdr:row>
      <xdr:rowOff>1813</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5FF66B56-1AA1-7179-D891-7A2F8A877A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869872" y="5231796"/>
              <a:ext cx="2340428" cy="1247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19352</xdr:colOff>
      <xdr:row>19</xdr:row>
      <xdr:rowOff>38100</xdr:rowOff>
    </xdr:from>
    <xdr:to>
      <xdr:col>10</xdr:col>
      <xdr:colOff>596900</xdr:colOff>
      <xdr:row>26</xdr:row>
      <xdr:rowOff>112486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C4D0CA01-2135-FAEB-5C6C-E0D44BA739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80152" y="3657600"/>
              <a:ext cx="2330148" cy="1407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xdr:colOff>
      <xdr:row>34</xdr:row>
      <xdr:rowOff>157540</xdr:rowOff>
    </xdr:from>
    <xdr:to>
      <xdr:col>11</xdr:col>
      <xdr:colOff>0</xdr:colOff>
      <xdr:row>41</xdr:row>
      <xdr:rowOff>72572</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4071CABC-D1BF-3E82-F9EB-9BC011CD39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73500" y="6634540"/>
              <a:ext cx="2349500" cy="1248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13304</xdr:colOff>
      <xdr:row>42</xdr:row>
      <xdr:rowOff>59569</xdr:rowOff>
    </xdr:from>
    <xdr:to>
      <xdr:col>10</xdr:col>
      <xdr:colOff>596899</xdr:colOff>
      <xdr:row>50</xdr:row>
      <xdr:rowOff>65314</xdr:rowOff>
    </xdr:to>
    <mc:AlternateContent xmlns:mc="http://schemas.openxmlformats.org/markup-compatibility/2006">
      <mc:Choice xmlns:a14="http://schemas.microsoft.com/office/drawing/2010/main" Requires="a14">
        <xdr:graphicFrame macro="">
          <xdr:nvGraphicFramePr>
            <xdr:cNvPr id="14" name="Years (Order Date)">
              <a:extLst>
                <a:ext uri="{FF2B5EF4-FFF2-40B4-BE49-F238E27FC236}">
                  <a16:creationId xmlns:a16="http://schemas.microsoft.com/office/drawing/2014/main" id="{FBEBC5DA-0CA8-C035-B56E-399FD2EA231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874104" y="8060569"/>
              <a:ext cx="2336195" cy="1529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xdr:colOff>
      <xdr:row>51</xdr:row>
      <xdr:rowOff>31751</xdr:rowOff>
    </xdr:from>
    <xdr:to>
      <xdr:col>11</xdr:col>
      <xdr:colOff>0</xdr:colOff>
      <xdr:row>63</xdr:row>
      <xdr:rowOff>177800</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187378B1-6E39-DC93-254C-C44A7C2430A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873500" y="9747251"/>
              <a:ext cx="2349500" cy="243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366184</xdr:colOff>
      <xdr:row>5</xdr:row>
      <xdr:rowOff>165101</xdr:rowOff>
    </xdr:from>
    <xdr:to>
      <xdr:col>34</xdr:col>
      <xdr:colOff>264584</xdr:colOff>
      <xdr:row>13</xdr:row>
      <xdr:rowOff>50800</xdr:rowOff>
    </xdr:to>
    <xdr:grpSp>
      <xdr:nvGrpSpPr>
        <xdr:cNvPr id="16" name="Group 15">
          <a:extLst>
            <a:ext uri="{FF2B5EF4-FFF2-40B4-BE49-F238E27FC236}">
              <a16:creationId xmlns:a16="http://schemas.microsoft.com/office/drawing/2014/main" id="{02832E5C-A9C7-4ADE-9EAB-35EF651C9557}"/>
            </a:ext>
          </a:extLst>
        </xdr:cNvPr>
        <xdr:cNvGrpSpPr/>
      </xdr:nvGrpSpPr>
      <xdr:grpSpPr>
        <a:xfrm>
          <a:off x="4226984" y="1117601"/>
          <a:ext cx="15481300" cy="1409699"/>
          <a:chOff x="3841750" y="901700"/>
          <a:chExt cx="16741775" cy="1524000"/>
        </a:xfrm>
        <a:solidFill>
          <a:srgbClr val="2B7970"/>
        </a:solidFill>
        <a:effectLst>
          <a:outerShdw blurRad="50800" dist="38100" dir="2700000" algn="tl" rotWithShape="0">
            <a:srgbClr val="002060">
              <a:alpha val="40000"/>
            </a:srgbClr>
          </a:outerShdw>
        </a:effectLst>
      </xdr:grpSpPr>
      <xdr:grpSp>
        <xdr:nvGrpSpPr>
          <xdr:cNvPr id="17" name="Group 16">
            <a:extLst>
              <a:ext uri="{FF2B5EF4-FFF2-40B4-BE49-F238E27FC236}">
                <a16:creationId xmlns:a16="http://schemas.microsoft.com/office/drawing/2014/main" id="{3BA40F96-6BBE-6994-A65C-9D0A84252452}"/>
              </a:ext>
            </a:extLst>
          </xdr:cNvPr>
          <xdr:cNvGrpSpPr/>
        </xdr:nvGrpSpPr>
        <xdr:grpSpPr>
          <a:xfrm>
            <a:off x="3841750" y="901700"/>
            <a:ext cx="3835400" cy="1511300"/>
            <a:chOff x="4051300" y="977900"/>
            <a:chExt cx="3860800" cy="1727200"/>
          </a:xfrm>
          <a:grpFill/>
        </xdr:grpSpPr>
        <xdr:sp macro="" textlink="'Pivot Sheet'!C164">
          <xdr:nvSpPr>
            <xdr:cNvPr id="27" name="Rectangle: Rounded Corners 26">
              <a:extLst>
                <a:ext uri="{FF2B5EF4-FFF2-40B4-BE49-F238E27FC236}">
                  <a16:creationId xmlns:a16="http://schemas.microsoft.com/office/drawing/2014/main" id="{ED0B01EC-C075-941A-10EA-C94D774EFD92}"/>
                </a:ext>
              </a:extLst>
            </xdr:cNvPr>
            <xdr:cNvSpPr/>
          </xdr:nvSpPr>
          <xdr:spPr>
            <a:xfrm>
              <a:off x="4051300" y="977900"/>
              <a:ext cx="3860800" cy="1727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E69ACE02-F821-4B75-B1C6-0DA6E1776D8D}"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t>50</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Total Orders</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28" name="Picture 27">
              <a:extLst>
                <a:ext uri="{FF2B5EF4-FFF2-40B4-BE49-F238E27FC236}">
                  <a16:creationId xmlns:a16="http://schemas.microsoft.com/office/drawing/2014/main" id="{3273C134-A65F-2B39-4A83-8B854B329E5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4211113" y="1432941"/>
              <a:ext cx="840662" cy="988541"/>
            </a:xfrm>
            <a:prstGeom prst="rect">
              <a:avLst/>
            </a:prstGeom>
            <a:grpFill/>
          </xdr:spPr>
        </xdr:pic>
      </xdr:grpSp>
      <xdr:grpSp>
        <xdr:nvGrpSpPr>
          <xdr:cNvPr id="18" name="Group 17">
            <a:extLst>
              <a:ext uri="{FF2B5EF4-FFF2-40B4-BE49-F238E27FC236}">
                <a16:creationId xmlns:a16="http://schemas.microsoft.com/office/drawing/2014/main" id="{0BEA51A1-8ACA-61C9-B430-E90D0B8D73CE}"/>
              </a:ext>
            </a:extLst>
          </xdr:cNvPr>
          <xdr:cNvGrpSpPr/>
        </xdr:nvGrpSpPr>
        <xdr:grpSpPr>
          <a:xfrm>
            <a:off x="8166100" y="901700"/>
            <a:ext cx="3892550" cy="1524000"/>
            <a:chOff x="4051300" y="977900"/>
            <a:chExt cx="3860800" cy="1727200"/>
          </a:xfrm>
          <a:grpFill/>
        </xdr:grpSpPr>
        <xdr:sp macro="" textlink="'Working Sheet'!Y2">
          <xdr:nvSpPr>
            <xdr:cNvPr id="25" name="Rectangle: Rounded Corners 24">
              <a:extLst>
                <a:ext uri="{FF2B5EF4-FFF2-40B4-BE49-F238E27FC236}">
                  <a16:creationId xmlns:a16="http://schemas.microsoft.com/office/drawing/2014/main" id="{F8AE2DDB-0ACA-6D45-01AA-1F0D7D74EA6A}"/>
                </a:ext>
              </a:extLst>
            </xdr:cNvPr>
            <xdr:cNvSpPr/>
          </xdr:nvSpPr>
          <xdr:spPr>
            <a:xfrm>
              <a:off x="4051300" y="977900"/>
              <a:ext cx="3860800" cy="1727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chemeClr val="bg1"/>
                  </a:solidFill>
                  <a:latin typeface="Segoe UI Black" panose="020B0A02040204020203" pitchFamily="34" charset="0"/>
                  <a:ea typeface="Segoe UI Black" panose="020B0A02040204020203" pitchFamily="34" charset="0"/>
                  <a:cs typeface="Calibri"/>
                </a:rPr>
                <a:t>	</a:t>
              </a:r>
              <a:fld id="{E58BD0AE-7AD3-4B99-9AA9-8357D00828D1}" type="TxLink">
                <a:rPr lang="en-US" sz="4000" b="0" i="0" u="none" strike="noStrike">
                  <a:solidFill>
                    <a:schemeClr val="bg1"/>
                  </a:solidFill>
                  <a:latin typeface="Segoe UI Black" panose="020B0A02040204020203" pitchFamily="34" charset="0"/>
                  <a:ea typeface="Segoe UI Black" panose="020B0A02040204020203" pitchFamily="34" charset="0"/>
                  <a:cs typeface="Calibri"/>
                </a:rPr>
                <a:t>21.5K</a:t>
              </a:fld>
              <a:endParaRPr lang="en-US" sz="4000" b="0" i="0" u="none" strike="noStrike">
                <a:solidFill>
                  <a:schemeClr val="bg1"/>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Total Sales</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26" name="Picture 25">
              <a:extLst>
                <a:ext uri="{FF2B5EF4-FFF2-40B4-BE49-F238E27FC236}">
                  <a16:creationId xmlns:a16="http://schemas.microsoft.com/office/drawing/2014/main" id="{45D8C4B9-F51E-0DF1-2E6A-5098254F72B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4216596" y="1413589"/>
              <a:ext cx="833072" cy="1011424"/>
            </a:xfrm>
            <a:prstGeom prst="rect">
              <a:avLst/>
            </a:prstGeom>
            <a:grpFill/>
          </xdr:spPr>
        </xdr:pic>
      </xdr:grpSp>
      <xdr:grpSp>
        <xdr:nvGrpSpPr>
          <xdr:cNvPr id="19" name="Group 18">
            <a:extLst>
              <a:ext uri="{FF2B5EF4-FFF2-40B4-BE49-F238E27FC236}">
                <a16:creationId xmlns:a16="http://schemas.microsoft.com/office/drawing/2014/main" id="{008D6CE5-332D-30B5-DDE5-039B46FC5178}"/>
              </a:ext>
            </a:extLst>
          </xdr:cNvPr>
          <xdr:cNvGrpSpPr/>
        </xdr:nvGrpSpPr>
        <xdr:grpSpPr>
          <a:xfrm>
            <a:off x="12522200" y="901700"/>
            <a:ext cx="3759200" cy="1511300"/>
            <a:chOff x="4051300" y="977900"/>
            <a:chExt cx="3860800" cy="1727200"/>
          </a:xfrm>
          <a:grpFill/>
        </xdr:grpSpPr>
        <xdr:sp macro="" textlink="'Working Sheet'!Z2">
          <xdr:nvSpPr>
            <xdr:cNvPr id="23" name="Rectangle: Rounded Corners 22">
              <a:extLst>
                <a:ext uri="{FF2B5EF4-FFF2-40B4-BE49-F238E27FC236}">
                  <a16:creationId xmlns:a16="http://schemas.microsoft.com/office/drawing/2014/main" id="{2AAFB933-8FF6-2930-47BC-8CE610A2A274}"/>
                </a:ext>
              </a:extLst>
            </xdr:cNvPr>
            <xdr:cNvSpPr/>
          </xdr:nvSpPr>
          <xdr:spPr>
            <a:xfrm>
              <a:off x="4051300" y="977900"/>
              <a:ext cx="3860800" cy="1727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rgbClr val="FF0000"/>
                  </a:solidFill>
                  <a:latin typeface="Segoe UI Black" panose="020B0A02040204020203" pitchFamily="34" charset="0"/>
                  <a:ea typeface="Segoe UI Black" panose="020B0A02040204020203" pitchFamily="34" charset="0"/>
                  <a:cs typeface="Calibri"/>
                </a:rPr>
                <a:t>	</a:t>
              </a:r>
              <a:fld id="{E58ABF7D-3908-4108-8B0D-ADEDDB95831B}" type="TxLink">
                <a:rPr lang="en-US" sz="4000" b="0" i="0" u="none" strike="noStrike">
                  <a:solidFill>
                    <a:srgbClr val="FF0000"/>
                  </a:solidFill>
                  <a:latin typeface="Segoe UI Black" panose="020B0A02040204020203" pitchFamily="34" charset="0"/>
                  <a:ea typeface="Segoe UI Black" panose="020B0A02040204020203" pitchFamily="34" charset="0"/>
                  <a:cs typeface="Calibri"/>
                </a:rPr>
                <a:t>-101.9</a:t>
              </a:fld>
              <a:endParaRPr lang="en-US" sz="4000" b="0" i="0" u="none" strike="noStrike">
                <a:solidFill>
                  <a:srgbClr val="FF0000"/>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Total Profit</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24" name="Picture 23">
              <a:extLst>
                <a:ext uri="{FF2B5EF4-FFF2-40B4-BE49-F238E27FC236}">
                  <a16:creationId xmlns:a16="http://schemas.microsoft.com/office/drawing/2014/main" id="{81DFC701-1F40-6565-C813-85A4A774A6E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4197960" y="1385868"/>
              <a:ext cx="856641" cy="1019923"/>
            </a:xfrm>
            <a:prstGeom prst="rect">
              <a:avLst/>
            </a:prstGeom>
            <a:grpFill/>
          </xdr:spPr>
        </xdr:pic>
      </xdr:grpSp>
      <xdr:grpSp>
        <xdr:nvGrpSpPr>
          <xdr:cNvPr id="20" name="Group 19">
            <a:extLst>
              <a:ext uri="{FF2B5EF4-FFF2-40B4-BE49-F238E27FC236}">
                <a16:creationId xmlns:a16="http://schemas.microsoft.com/office/drawing/2014/main" id="{3D351351-314A-869D-AE38-0BAB17D59839}"/>
              </a:ext>
            </a:extLst>
          </xdr:cNvPr>
          <xdr:cNvGrpSpPr/>
        </xdr:nvGrpSpPr>
        <xdr:grpSpPr>
          <a:xfrm>
            <a:off x="16760825" y="901700"/>
            <a:ext cx="3822700" cy="1498600"/>
            <a:chOff x="4051300" y="977900"/>
            <a:chExt cx="3860800" cy="1727200"/>
          </a:xfrm>
          <a:grpFill/>
        </xdr:grpSpPr>
        <xdr:sp macro="" textlink="'Working Sheet'!AB2">
          <xdr:nvSpPr>
            <xdr:cNvPr id="21" name="Rectangle: Rounded Corners 20">
              <a:extLst>
                <a:ext uri="{FF2B5EF4-FFF2-40B4-BE49-F238E27FC236}">
                  <a16:creationId xmlns:a16="http://schemas.microsoft.com/office/drawing/2014/main" id="{2E2D2CD2-CB77-DFC8-3D66-A88C43D74F80}"/>
                </a:ext>
              </a:extLst>
            </xdr:cNvPr>
            <xdr:cNvSpPr/>
          </xdr:nvSpPr>
          <xdr:spPr>
            <a:xfrm>
              <a:off x="4051300" y="977900"/>
              <a:ext cx="3860800" cy="17272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i="0" u="none" strike="noStrike">
                  <a:solidFill>
                    <a:srgbClr val="FF0000"/>
                  </a:solidFill>
                  <a:latin typeface="Segoe UI Black" panose="020B0A02040204020203" pitchFamily="34" charset="0"/>
                  <a:ea typeface="Segoe UI Black" panose="020B0A02040204020203" pitchFamily="34" charset="0"/>
                  <a:cs typeface="Calibri"/>
                </a:rPr>
                <a:t>	</a:t>
              </a:r>
              <a:fld id="{AB58D41B-3E4A-47B7-8D1E-B4A94B6BDEBF}" type="TxLink">
                <a:rPr lang="en-US" sz="4000" b="0" i="0" u="none" strike="noStrike">
                  <a:solidFill>
                    <a:srgbClr val="FF0000"/>
                  </a:solidFill>
                  <a:latin typeface="Segoe UI Black" panose="020B0A02040204020203" pitchFamily="34" charset="0"/>
                  <a:ea typeface="Segoe UI Black" panose="020B0A02040204020203" pitchFamily="34" charset="0"/>
                  <a:cs typeface="Calibri"/>
                </a:rPr>
                <a:t>-0.5%</a:t>
              </a:fld>
              <a:endParaRPr lang="en-US" sz="4000" b="0" i="0" u="none" strike="noStrike">
                <a:solidFill>
                  <a:srgbClr val="FF0000"/>
                </a:solidFill>
                <a:latin typeface="Segoe UI Black" panose="020B0A02040204020203" pitchFamily="34" charset="0"/>
                <a:ea typeface="Segoe UI Black" panose="020B0A02040204020203" pitchFamily="34" charset="0"/>
                <a:cs typeface="Calibri"/>
              </a:endParaRPr>
            </a:p>
            <a:p>
              <a:pPr algn="l"/>
              <a:r>
                <a:rPr lang="en-US" sz="2500" b="0" i="0" u="none" strike="noStrike">
                  <a:solidFill>
                    <a:schemeClr val="bg1"/>
                  </a:solidFill>
                  <a:latin typeface="Segoe UI Black" panose="020B0A02040204020203" pitchFamily="34" charset="0"/>
                  <a:ea typeface="Segoe UI Black" panose="020B0A02040204020203" pitchFamily="34" charset="0"/>
                  <a:cs typeface="Calibri"/>
                </a:rPr>
                <a:t>	Profit Margin</a:t>
              </a:r>
              <a:endParaRPr lang="en-US" sz="2500">
                <a:solidFill>
                  <a:schemeClr val="bg1"/>
                </a:solidFill>
                <a:latin typeface="Segoe UI Black" panose="020B0A02040204020203" pitchFamily="34" charset="0"/>
                <a:ea typeface="Segoe UI Black" panose="020B0A02040204020203" pitchFamily="34" charset="0"/>
              </a:endParaRPr>
            </a:p>
          </xdr:txBody>
        </xdr:sp>
        <xdr:pic>
          <xdr:nvPicPr>
            <xdr:cNvPr id="22" name="Picture 21">
              <a:extLst>
                <a:ext uri="{FF2B5EF4-FFF2-40B4-BE49-F238E27FC236}">
                  <a16:creationId xmlns:a16="http://schemas.microsoft.com/office/drawing/2014/main" id="{17C3945A-A688-AA66-12A8-CB2E74B5C9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4197822" y="1389326"/>
              <a:ext cx="882991" cy="1044391"/>
            </a:xfrm>
            <a:prstGeom prst="rect">
              <a:avLst/>
            </a:prstGeom>
            <a:grpFill/>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inye Maduakor" refreshedDate="46100.545549652779" createdVersion="8" refreshedVersion="8" minRefreshableVersion="3" recordCount="100" xr:uid="{57E9451B-75CE-43D3-A00A-1CFF22353E3D}">
  <cacheSource type="worksheet">
    <worksheetSource ref="A1:W101" sheet="Working Sheet"/>
  </cacheSource>
  <cacheFields count="23">
    <cacheField name="Row ID" numFmtId="1">
      <sharedItems containsSemiMixedTypes="0" containsString="0" containsNumber="1" containsInteger="1" minValue="1" maxValue="100"/>
    </cacheField>
    <cacheField name="Order ID" numFmtId="0">
      <sharedItems count="5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haredItems>
    </cacheField>
    <cacheField name="Order Date" numFmtId="164">
      <sharedItems containsSemiMixedTypes="0" containsNonDate="0" containsDate="1" containsString="0" minDate="2014-05-13T00:00:00" maxDate="2017-12-10T00:00:00"/>
    </cacheField>
    <cacheField name="Ship Date" numFmtId="164">
      <sharedItems containsSemiMixedTypes="0" containsNonDate="0" containsDate="1" containsString="0" minDate="2014-05-15T00:00:00" maxDate="2017-12-12T00:00:00"/>
    </cacheField>
    <cacheField name="Ship Mode" numFmtId="0">
      <sharedItems count="3">
        <s v="Second Class"/>
        <s v="Standard Class"/>
        <s v="First Class"/>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009" maxValue="98103"/>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2">
      <sharedItems containsSemiMixedTypes="0" containsString="0" containsNumber="1" minValue="1.248" maxValue="3083.43"/>
    </cacheField>
    <cacheField name="Quantity" numFmtId="1">
      <sharedItems containsSemiMixedTypes="0" containsString="0" containsNumber="1" containsInteger="1" minValue="1" maxValue="9"/>
    </cacheField>
    <cacheField name="Discount" numFmtId="2">
      <sharedItems containsSemiMixedTypes="0" containsString="0" containsNumber="1" minValue="0" maxValue="0.8"/>
    </cacheField>
    <cacheField name="Profit" numFmtId="2">
      <sharedItems containsSemiMixedTypes="0" containsString="0" containsNumber="1" minValue="-1665.0522000000001" maxValue="298.68549999999999"/>
    </cacheField>
    <cacheField name="Profit Margin" numFmtId="9">
      <sharedItems containsSemiMixedTypes="0" containsString="0" containsNumber="1" minValue="-1.8" maxValue="0.5"/>
    </cacheField>
    <cacheField name="Days Before Shipment" numFmtId="1">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inye Maduakor" refreshedDate="46100.545550000003" createdVersion="8" refreshedVersion="8" minRefreshableVersion="3" recordCount="100" xr:uid="{32EF1482-6C1C-426F-93A6-1E3CDF98BD2E}">
  <cacheSource type="worksheet">
    <worksheetSource ref="A1:V101" sheet="Working Sheet"/>
  </cacheSource>
  <cacheFields count="25">
    <cacheField name="Row ID" numFmtId="1">
      <sharedItems containsSemiMixedTypes="0" containsString="0" containsNumber="1" containsInteger="1" minValue="1" maxValue="100"/>
    </cacheField>
    <cacheField name="Order ID" numFmtId="0">
      <sharedItems/>
    </cacheField>
    <cacheField name="Order Date" numFmtId="164">
      <sharedItems containsSemiMixedTypes="0" containsNonDate="0" containsDate="1" containsString="0" minDate="2014-05-13T00:00:00" maxDate="2017-12-10T00:00:00" count="49">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sharedItems>
      <fieldGroup par="24"/>
    </cacheField>
    <cacheField name="Ship Date" numFmtId="164">
      <sharedItems containsSemiMixedTypes="0" containsNonDate="0" containsDate="1" containsString="0" minDate="2014-05-15T00:00:00" maxDate="2017-12-12T00:00:00"/>
    </cacheField>
    <cacheField name="Ship Mode" numFmtId="0">
      <sharedItems/>
    </cacheField>
    <cacheField name="Customer ID" numFmtId="0">
      <sharedItems/>
    </cacheField>
    <cacheField name="Customer Name" numFmtId="0">
      <sharedItems count="47">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Postal Code" numFmtId="1">
      <sharedItems containsSemiMixedTypes="0" containsString="0" containsNumber="1" containsInteger="1" minValue="10009" maxValue="98103"/>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1.248" maxValue="3083.43"/>
    </cacheField>
    <cacheField name="Quantity" numFmtId="1">
      <sharedItems containsSemiMixedTypes="0" containsString="0" containsNumber="1" containsInteger="1" minValue="1" maxValue="9"/>
    </cacheField>
    <cacheField name="Discount" numFmtId="2">
      <sharedItems containsSemiMixedTypes="0" containsString="0" containsNumber="1" minValue="0" maxValue="0.8"/>
    </cacheField>
    <cacheField name="Profit" numFmtId="2">
      <sharedItems containsSemiMixedTypes="0" containsString="0" containsNumber="1" minValue="-1665.0522000000001" maxValue="298.68549999999999"/>
    </cacheField>
    <cacheField name="Profit Margin" numFmtId="9">
      <sharedItems containsSemiMixedTypes="0" containsString="0" containsNumber="1" minValue="-1.8" maxValue="0.5"/>
    </cacheField>
    <cacheField name="Months (Order Date)" numFmtId="0" databaseField="0">
      <fieldGroup base="2">
        <rangePr groupBy="months" startDate="2014-05-13T00:00:00" endDate="2017-12-10T00:00:00"/>
        <groupItems count="14">
          <s v="&lt;5/13/2014"/>
          <s v="Jan"/>
          <s v="Feb"/>
          <s v="Mar"/>
          <s v="Apr"/>
          <s v="May"/>
          <s v="Jun"/>
          <s v="Jul"/>
          <s v="Aug"/>
          <s v="Sep"/>
          <s v="Oct"/>
          <s v="Nov"/>
          <s v="Dec"/>
          <s v="&gt;12/10/2017"/>
        </groupItems>
      </fieldGroup>
    </cacheField>
    <cacheField name="Quarters (Order Date)" numFmtId="0" databaseField="0">
      <fieldGroup base="2">
        <rangePr groupBy="quarters" startDate="2014-05-13T00:00:00" endDate="2017-12-10T00:00:00"/>
        <groupItems count="6">
          <s v="&lt;5/13/2014"/>
          <s v="Qtr1"/>
          <s v="Qtr2"/>
          <s v="Qtr3"/>
          <s v="Qtr4"/>
          <s v="&gt;12/10/2017"/>
        </groupItems>
      </fieldGroup>
    </cacheField>
    <cacheField name="Years (Order Date)" numFmtId="0" databaseField="0">
      <fieldGroup base="2">
        <rangePr groupBy="years" startDate="2014-05-13T00:00:00" endDate="2017-12-10T00:00:00"/>
        <groupItems count="6">
          <s v="&lt;5/13/2014"/>
          <s v="2014"/>
          <s v="2015"/>
          <s v="2016"/>
          <s v="2017"/>
          <s v="&gt;12/10/2017"/>
        </groupItems>
      </fieldGroup>
    </cacheField>
  </cacheFields>
  <extLst>
    <ext xmlns:x14="http://schemas.microsoft.com/office/spreadsheetml/2009/9/main" uri="{725AE2AE-9491-48be-B2B4-4EB974FC3084}">
      <x14:pivotCacheDefinition pivotCacheId="8000551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yinye Maduakor" refreshedDate="46123.107101851849" backgroundQuery="1" createdVersion="8" refreshedVersion="8" minRefreshableVersion="3" recordCount="0" supportSubquery="1" supportAdvancedDrill="1" xr:uid="{CF23097A-75FE-4B7C-94BB-37D69A0CC4AC}">
  <cacheSource type="external" connectionId="1"/>
  <cacheFields count="1">
    <cacheField name="[Measures].[Distinct Count of Order ID]" caption="Distinct Count of Order ID" numFmtId="0" hierarchy="26" level="32767"/>
  </cacheFields>
  <cacheHierarchies count="2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Range].[Days Before Shipment]" caption="Days Before Shipment" attribute="1" defaultMemberUniqueName="[Range].[Days Before Shipment].[All]" allUniqueName="[Range].[Days Before Shipmen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d v="2016-11-08T00:00:00"/>
    <d v="2016-11-11T00:00:00"/>
    <x v="0"/>
    <s v="CG-12520"/>
    <s v="Claire Gute"/>
    <s v="Consumer"/>
    <s v="United States"/>
    <s v="Henderson"/>
    <s v="Kentucky"/>
    <n v="42420"/>
    <s v="South"/>
    <s v="FUR-BO-10001798"/>
    <s v="Furniture"/>
    <s v="Bookcases"/>
    <s v="Bush Somerset Collection Bookcase"/>
    <n v="261.95999999999998"/>
    <n v="2"/>
    <n v="0"/>
    <n v="41.913600000000002"/>
    <n v="0.16000000000000003"/>
    <n v="3"/>
  </r>
  <r>
    <n v="2"/>
    <x v="0"/>
    <d v="2016-11-08T00:00:00"/>
    <d v="2016-11-11T00:00:00"/>
    <x v="0"/>
    <s v="CG-12520"/>
    <s v="Claire Gute"/>
    <s v="Consumer"/>
    <s v="United States"/>
    <s v="Henderson"/>
    <s v="Kentucky"/>
    <n v="42420"/>
    <s v="South"/>
    <s v="FUR-CH-10000454"/>
    <s v="Furniture"/>
    <s v="Chairs"/>
    <s v="Hon Deluxe Fabric Upholstered Stacking Chairs, Rounded Back"/>
    <n v="731.94"/>
    <n v="3"/>
    <n v="0"/>
    <n v="219.58199999999999"/>
    <n v="0.3"/>
    <n v="3"/>
  </r>
  <r>
    <n v="3"/>
    <x v="1"/>
    <d v="2016-06-12T00:00:00"/>
    <d v="2016-06-16T00:00:00"/>
    <x v="0"/>
    <s v="DV-13045"/>
    <s v="Darrin Van Huff"/>
    <s v="Corporate"/>
    <s v="United States"/>
    <s v="Los Angeles"/>
    <s v="California"/>
    <n v="90036"/>
    <s v="West"/>
    <s v="OFF-LA-10000240"/>
    <s v="Office Supplies"/>
    <s v="Labels"/>
    <s v="Self-Adhesive Address Labels for Typewriters by Universal"/>
    <n v="14.62"/>
    <n v="2"/>
    <n v="0"/>
    <n v="6.8714000000000004"/>
    <n v="0.47000000000000003"/>
    <n v="4"/>
  </r>
  <r>
    <n v="4"/>
    <x v="2"/>
    <d v="2015-10-11T00:00:00"/>
    <d v="2015-10-18T00:00:00"/>
    <x v="1"/>
    <s v="SO-20335"/>
    <s v="Sean O'Donnell"/>
    <s v="Consumer"/>
    <s v="United States"/>
    <s v="Fort Lauderdale"/>
    <s v="Florida"/>
    <n v="33311"/>
    <s v="South"/>
    <s v="FUR-TA-10000577"/>
    <s v="Furniture"/>
    <s v="Tables"/>
    <s v="Bretford CR4500 Series Slim Rectangular Table"/>
    <n v="957.57749999999999"/>
    <n v="5"/>
    <n v="0.45"/>
    <n v="-383.03100000000001"/>
    <n v="-0.4"/>
    <n v="7"/>
  </r>
  <r>
    <n v="5"/>
    <x v="2"/>
    <d v="2015-10-11T00:00:00"/>
    <d v="2015-10-18T00:00:00"/>
    <x v="1"/>
    <s v="SO-20335"/>
    <s v="Sean O'Donnell"/>
    <s v="Consumer"/>
    <s v="United States"/>
    <s v="Fort Lauderdale"/>
    <s v="Florida"/>
    <n v="33311"/>
    <s v="South"/>
    <s v="OFF-ST-10000760"/>
    <s v="Office Supplies"/>
    <s v="Storage"/>
    <s v="Eldon Fold 'N Roll Cart System"/>
    <n v="22.367999999999999"/>
    <n v="2"/>
    <n v="0.2"/>
    <n v="2.5164"/>
    <n v="0.1125"/>
    <n v="7"/>
  </r>
  <r>
    <n v="6"/>
    <x v="3"/>
    <d v="2014-06-09T00:00:00"/>
    <d v="2014-06-14T00:00:00"/>
    <x v="1"/>
    <s v="BH-11710"/>
    <s v="Brosina Hoffman"/>
    <s v="Consumer"/>
    <s v="United States"/>
    <s v="Los Angeles"/>
    <s v="California"/>
    <n v="90032"/>
    <s v="West"/>
    <s v="FUR-FU-10001487"/>
    <s v="Furniture"/>
    <s v="Furnishings"/>
    <s v="Eldon Expressions Wood and Plastic Desk Accessories, Cherry Wood"/>
    <n v="48.86"/>
    <n v="7"/>
    <n v="0"/>
    <n v="14.1694"/>
    <n v="0.28999999999999998"/>
    <n v="5"/>
  </r>
  <r>
    <n v="7"/>
    <x v="3"/>
    <d v="2014-06-09T00:00:00"/>
    <d v="2014-06-14T00:00:00"/>
    <x v="1"/>
    <s v="BH-11710"/>
    <s v="Brosina Hoffman"/>
    <s v="Consumer"/>
    <s v="United States"/>
    <s v="Los Angeles"/>
    <s v="California"/>
    <n v="90032"/>
    <s v="West"/>
    <s v="OFF-AR-10002833"/>
    <s v="Office Supplies"/>
    <s v="Art"/>
    <s v="Newell 322"/>
    <n v="7.28"/>
    <n v="4"/>
    <n v="0"/>
    <n v="1.9656"/>
    <n v="0.27"/>
    <n v="5"/>
  </r>
  <r>
    <n v="8"/>
    <x v="3"/>
    <d v="2014-06-09T00:00:00"/>
    <d v="2014-06-14T00:00:00"/>
    <x v="1"/>
    <s v="BH-11710"/>
    <s v="Brosina Hoffman"/>
    <s v="Consumer"/>
    <s v="United States"/>
    <s v="Los Angeles"/>
    <s v="California"/>
    <n v="90032"/>
    <s v="West"/>
    <s v="TEC-PH-10002275"/>
    <s v="Technology"/>
    <s v="Phones"/>
    <s v="Mitel 5320 IP Phone VoIP phone"/>
    <n v="907.15200000000004"/>
    <n v="6"/>
    <n v="0.2"/>
    <n v="90.715199999999996"/>
    <n v="9.9999999999999992E-2"/>
    <n v="5"/>
  </r>
  <r>
    <n v="9"/>
    <x v="3"/>
    <d v="2014-06-09T00:00:00"/>
    <d v="2014-06-14T00:00:00"/>
    <x v="1"/>
    <s v="BH-11710"/>
    <s v="Brosina Hoffman"/>
    <s v="Consumer"/>
    <s v="United States"/>
    <s v="Los Angeles"/>
    <s v="California"/>
    <n v="90032"/>
    <s v="West"/>
    <s v="OFF-BI-10003910"/>
    <s v="Office Supplies"/>
    <s v="Binders"/>
    <s v="DXL Angle-View Binders with Locking Rings by Samsill"/>
    <n v="18.504000000000001"/>
    <n v="3"/>
    <n v="0.2"/>
    <n v="5.7824999999999998"/>
    <n v="0.31249999999999994"/>
    <n v="5"/>
  </r>
  <r>
    <n v="10"/>
    <x v="3"/>
    <d v="2014-06-09T00:00:00"/>
    <d v="2014-06-14T00:00:00"/>
    <x v="1"/>
    <s v="BH-11710"/>
    <s v="Brosina Hoffman"/>
    <s v="Consumer"/>
    <s v="United States"/>
    <s v="Los Angeles"/>
    <s v="California"/>
    <n v="90032"/>
    <s v="West"/>
    <s v="OFF-AP-10002892"/>
    <s v="Office Supplies"/>
    <s v="Appliances"/>
    <s v="Belkin F5C206VTEL 6 Outlet Surge"/>
    <n v="114.9"/>
    <n v="5"/>
    <n v="0"/>
    <n v="34.47"/>
    <n v="0.3"/>
    <n v="5"/>
  </r>
  <r>
    <n v="11"/>
    <x v="3"/>
    <d v="2014-06-09T00:00:00"/>
    <d v="2014-06-14T00:00:00"/>
    <x v="1"/>
    <s v="BH-11710"/>
    <s v="Brosina Hoffman"/>
    <s v="Consumer"/>
    <s v="United States"/>
    <s v="Los Angeles"/>
    <s v="California"/>
    <n v="90032"/>
    <s v="West"/>
    <s v="FUR-TA-10001539"/>
    <s v="Furniture"/>
    <s v="Tables"/>
    <s v="Chromcraft Rectangular Conference Tables"/>
    <n v="1706.184"/>
    <n v="9"/>
    <n v="0.2"/>
    <n v="85.309200000000004"/>
    <n v="0.05"/>
    <n v="5"/>
  </r>
  <r>
    <n v="12"/>
    <x v="3"/>
    <d v="2014-06-09T00:00:00"/>
    <d v="2014-06-14T00:00:00"/>
    <x v="1"/>
    <s v="BH-11710"/>
    <s v="Brosina Hoffman"/>
    <s v="Consumer"/>
    <s v="United States"/>
    <s v="Los Angeles"/>
    <s v="California"/>
    <n v="90032"/>
    <s v="West"/>
    <s v="TEC-PH-10002033"/>
    <s v="Technology"/>
    <s v="Phones"/>
    <s v="Konftel 250 Conference phone - Charcoal black"/>
    <n v="911.42399999999998"/>
    <n v="4"/>
    <n v="0.2"/>
    <n v="68.356800000000007"/>
    <n v="7.5000000000000011E-2"/>
    <n v="5"/>
  </r>
  <r>
    <n v="13"/>
    <x v="4"/>
    <d v="2017-04-15T00:00:00"/>
    <d v="2017-04-20T00:00:00"/>
    <x v="1"/>
    <s v="AA-10480"/>
    <s v="Andrew Allen"/>
    <s v="Consumer"/>
    <s v="United States"/>
    <s v="Concord"/>
    <s v="North Carolina"/>
    <n v="28027"/>
    <s v="South"/>
    <s v="OFF-PA-10002365"/>
    <s v="Office Supplies"/>
    <s v="Paper"/>
    <s v="Xerox 1967"/>
    <n v="15.552"/>
    <n v="3"/>
    <n v="0.2"/>
    <n v="5.4432"/>
    <n v="0.35000000000000003"/>
    <n v="5"/>
  </r>
  <r>
    <n v="14"/>
    <x v="5"/>
    <d v="2016-12-05T00:00:00"/>
    <d v="2016-12-10T00:00:00"/>
    <x v="1"/>
    <s v="IM-15070"/>
    <s v="Irene Maddox"/>
    <s v="Consumer"/>
    <s v="United States"/>
    <s v="Seattle"/>
    <s v="Washington"/>
    <n v="98103"/>
    <s v="West"/>
    <s v="OFF-BI-10003656"/>
    <s v="Office Supplies"/>
    <s v="Binders"/>
    <s v="Fellowes PB200 Plastic Comb Binding Machine"/>
    <n v="407.976"/>
    <n v="3"/>
    <n v="0.2"/>
    <n v="132.59219999999999"/>
    <n v="0.32499999999999996"/>
    <n v="5"/>
  </r>
  <r>
    <n v="15"/>
    <x v="6"/>
    <d v="2015-11-22T00:00:00"/>
    <d v="2015-11-26T00:00:00"/>
    <x v="1"/>
    <s v="HP-14815"/>
    <s v="Harold Pawlan"/>
    <s v="Home Office"/>
    <s v="United States"/>
    <s v="Fort Worth"/>
    <s v="Texas"/>
    <n v="76106"/>
    <s v="Central"/>
    <s v="OFF-AP-10002311"/>
    <s v="Office Supplies"/>
    <s v="Appliances"/>
    <s v="Holmes Replacement Filter for HEPA Air Cleaner, Very Large Room, HEPA Filter"/>
    <n v="68.81"/>
    <n v="5"/>
    <n v="0.8"/>
    <n v="-123.858"/>
    <n v="-1.8"/>
    <n v="4"/>
  </r>
  <r>
    <n v="16"/>
    <x v="6"/>
    <d v="2015-11-22T00:00:00"/>
    <d v="2015-11-26T00:00:00"/>
    <x v="1"/>
    <s v="HP-14815"/>
    <s v="Harold Pawlan"/>
    <s v="Home Office"/>
    <s v="United States"/>
    <s v="Fort Worth"/>
    <s v="Texas"/>
    <n v="76106"/>
    <s v="Central"/>
    <s v="OFF-BI-10000756"/>
    <s v="Office Supplies"/>
    <s v="Binders"/>
    <s v="Storex DuraTech Recycled Plastic Frosted Binders"/>
    <n v="2.544"/>
    <n v="3"/>
    <n v="0.8"/>
    <n v="-3.8159999999999998"/>
    <n v="-1.5"/>
    <n v="4"/>
  </r>
  <r>
    <n v="17"/>
    <x v="7"/>
    <d v="2014-11-11T00:00:00"/>
    <d v="2014-11-18T00:00:00"/>
    <x v="1"/>
    <s v="PK-19075"/>
    <s v="Pete Kriz"/>
    <s v="Consumer"/>
    <s v="United States"/>
    <s v="Madison"/>
    <s v="Wisconsin"/>
    <n v="53711"/>
    <s v="Central"/>
    <s v="OFF-ST-10004186"/>
    <s v="Office Supplies"/>
    <s v="Storage"/>
    <s v="Stur-D-Stor Shelving, Vertical 5-Shelf: 72&quot;H x 36&quot;W x 18 1/2&quot;D"/>
    <n v="665.88"/>
    <n v="6"/>
    <n v="0"/>
    <n v="13.317600000000001"/>
    <n v="0.02"/>
    <n v="7"/>
  </r>
  <r>
    <n v="18"/>
    <x v="8"/>
    <d v="2014-05-13T00:00:00"/>
    <d v="2014-05-15T00:00:00"/>
    <x v="0"/>
    <s v="AG-10270"/>
    <s v="Alejandro Grove"/>
    <s v="Consumer"/>
    <s v="United States"/>
    <s v="West Jordan"/>
    <s v="Utah"/>
    <n v="84084"/>
    <s v="West"/>
    <s v="OFF-ST-10000107"/>
    <s v="Office Supplies"/>
    <s v="Storage"/>
    <s v="Fellowes Super Stor/Drawer"/>
    <n v="55.5"/>
    <n v="2"/>
    <n v="0"/>
    <n v="9.99"/>
    <n v="0.18"/>
    <n v="2"/>
  </r>
  <r>
    <n v="19"/>
    <x v="9"/>
    <d v="2014-08-27T00:00:00"/>
    <d v="2014-09-01T00:00:00"/>
    <x v="0"/>
    <s v="ZD-21925"/>
    <s v="Zuschuss Donatelli"/>
    <s v="Consumer"/>
    <s v="United States"/>
    <s v="San Francisco"/>
    <s v="California"/>
    <n v="94109"/>
    <s v="West"/>
    <s v="OFF-AR-10003056"/>
    <s v="Office Supplies"/>
    <s v="Art"/>
    <s v="Newell 341"/>
    <n v="8.56"/>
    <n v="2"/>
    <n v="0"/>
    <n v="2.4824000000000002"/>
    <n v="0.28999999999999998"/>
    <n v="5"/>
  </r>
  <r>
    <n v="20"/>
    <x v="9"/>
    <d v="2014-08-27T00:00:00"/>
    <d v="2014-09-01T00:00:00"/>
    <x v="0"/>
    <s v="ZD-21925"/>
    <s v="Zuschuss Donatelli"/>
    <s v="Consumer"/>
    <s v="United States"/>
    <s v="San Francisco"/>
    <s v="California"/>
    <n v="94109"/>
    <s v="West"/>
    <s v="TEC-PH-10001949"/>
    <s v="Technology"/>
    <s v="Phones"/>
    <s v="Cisco SPA 501G IP Phone"/>
    <n v="213.48"/>
    <n v="3"/>
    <n v="0.2"/>
    <n v="16.010999999999999"/>
    <n v="7.4999999999999997E-2"/>
    <n v="5"/>
  </r>
  <r>
    <n v="21"/>
    <x v="9"/>
    <d v="2014-08-27T00:00:00"/>
    <d v="2014-09-01T00:00:00"/>
    <x v="0"/>
    <s v="ZD-21925"/>
    <s v="Zuschuss Donatelli"/>
    <s v="Consumer"/>
    <s v="United States"/>
    <s v="San Francisco"/>
    <s v="California"/>
    <n v="94109"/>
    <s v="West"/>
    <s v="OFF-BI-10002215"/>
    <s v="Office Supplies"/>
    <s v="Binders"/>
    <s v="Wilson Jones Hanging View Binder, White, 1&quot;"/>
    <n v="22.72"/>
    <n v="4"/>
    <n v="0.2"/>
    <n v="7.3840000000000003"/>
    <n v="0.32500000000000001"/>
    <n v="5"/>
  </r>
  <r>
    <n v="22"/>
    <x v="10"/>
    <d v="2016-12-09T00:00:00"/>
    <d v="2016-12-13T00:00:00"/>
    <x v="1"/>
    <s v="KB-16585"/>
    <s v="Ken Black"/>
    <s v="Corporate"/>
    <s v="United States"/>
    <s v="Fremont"/>
    <s v="Nebraska"/>
    <n v="68025"/>
    <s v="Central"/>
    <s v="OFF-AR-10000246"/>
    <s v="Office Supplies"/>
    <s v="Art"/>
    <s v="Newell 318"/>
    <n v="19.46"/>
    <n v="7"/>
    <n v="0"/>
    <n v="5.0595999999999997"/>
    <n v="0.25999999999999995"/>
    <n v="4"/>
  </r>
  <r>
    <n v="23"/>
    <x v="10"/>
    <d v="2016-12-09T00:00:00"/>
    <d v="2016-12-13T00:00:00"/>
    <x v="1"/>
    <s v="KB-16585"/>
    <s v="Ken Black"/>
    <s v="Corporate"/>
    <s v="United States"/>
    <s v="Fremont"/>
    <s v="Nebraska"/>
    <n v="68025"/>
    <s v="Central"/>
    <s v="OFF-AP-10001492"/>
    <s v="Office Supplies"/>
    <s v="Appliances"/>
    <s v="Acco Six-Outlet Power Strip, 4' Cord Length"/>
    <n v="60.34"/>
    <n v="7"/>
    <n v="0"/>
    <n v="15.6884"/>
    <n v="0.25999999999999995"/>
    <n v="4"/>
  </r>
  <r>
    <n v="24"/>
    <x v="11"/>
    <d v="2017-07-16T00:00:00"/>
    <d v="2017-07-18T00:00:00"/>
    <x v="0"/>
    <s v="SF-20065"/>
    <s v="Sandra Flanagan"/>
    <s v="Consumer"/>
    <s v="United States"/>
    <s v="Philadelphia"/>
    <s v="Pennsylvania"/>
    <n v="19140"/>
    <s v="East"/>
    <s v="FUR-CH-10002774"/>
    <s v="Furniture"/>
    <s v="Chairs"/>
    <s v="Global Deluxe Stacking Chair, Gray"/>
    <n v="71.372"/>
    <n v="2"/>
    <n v="0.3"/>
    <n v="-1.0196000000000001"/>
    <n v="-1.4285714285714287E-2"/>
    <n v="2"/>
  </r>
  <r>
    <n v="25"/>
    <x v="12"/>
    <d v="2015-09-25T00:00:00"/>
    <d v="2015-09-30T00:00:00"/>
    <x v="1"/>
    <s v="EB-13870"/>
    <s v="Emily Burns"/>
    <s v="Consumer"/>
    <s v="United States"/>
    <s v="Orem"/>
    <s v="Utah"/>
    <n v="84057"/>
    <s v="West"/>
    <s v="FUR-TA-10000577"/>
    <s v="Furniture"/>
    <s v="Tables"/>
    <s v="Bretford CR4500 Series Slim Rectangular Table"/>
    <n v="1044.6300000000001"/>
    <n v="3"/>
    <n v="0"/>
    <n v="240.26490000000001"/>
    <n v="0.22999999999999998"/>
    <n v="5"/>
  </r>
  <r>
    <n v="26"/>
    <x v="13"/>
    <d v="2016-01-16T00:00:00"/>
    <d v="2016-01-20T00:00:00"/>
    <x v="0"/>
    <s v="EH-13945"/>
    <s v="Eric Hoffmann"/>
    <s v="Consumer"/>
    <s v="United States"/>
    <s v="Los Angeles"/>
    <s v="California"/>
    <n v="90049"/>
    <s v="West"/>
    <s v="OFF-BI-10001634"/>
    <s v="Office Supplies"/>
    <s v="Binders"/>
    <s v="Wilson Jones Active Use Binders"/>
    <n v="11.648"/>
    <n v="2"/>
    <n v="0.2"/>
    <n v="4.2224000000000004"/>
    <n v="0.36250000000000004"/>
    <n v="4"/>
  </r>
  <r>
    <n v="27"/>
    <x v="13"/>
    <d v="2016-01-16T00:00:00"/>
    <d v="2016-01-20T00:00:00"/>
    <x v="0"/>
    <s v="EH-13945"/>
    <s v="Eric Hoffmann"/>
    <s v="Consumer"/>
    <s v="United States"/>
    <s v="Los Angeles"/>
    <s v="California"/>
    <n v="90049"/>
    <s v="West"/>
    <s v="TEC-AC-10003027"/>
    <s v="Technology"/>
    <s v="Accessories"/>
    <s v="Imation 8GB Mini TravelDrive USB 2.0 Flash Drive"/>
    <n v="90.57"/>
    <n v="3"/>
    <n v="0"/>
    <n v="11.774100000000001"/>
    <n v="0.13"/>
    <n v="4"/>
  </r>
  <r>
    <n v="28"/>
    <x v="14"/>
    <d v="2015-09-17T00:00:00"/>
    <d v="2015-09-21T00:00:00"/>
    <x v="1"/>
    <s v="TB-21520"/>
    <s v="Tracy Blumstein"/>
    <s v="Consumer"/>
    <s v="United States"/>
    <s v="Philadelphia"/>
    <s v="Pennsylvania"/>
    <n v="19140"/>
    <s v="East"/>
    <s v="FUR-BO-10004834"/>
    <s v="Furniture"/>
    <s v="Bookcases"/>
    <s v="Riverside Palais Royal Lawyers Bookcase, Royale Cherry Finish"/>
    <n v="3083.43"/>
    <n v="7"/>
    <n v="0.5"/>
    <n v="-1665.0522000000001"/>
    <n v="-0.54"/>
    <n v="4"/>
  </r>
  <r>
    <n v="29"/>
    <x v="14"/>
    <d v="2015-09-17T00:00:00"/>
    <d v="2015-09-21T00:00:00"/>
    <x v="1"/>
    <s v="TB-21520"/>
    <s v="Tracy Blumstein"/>
    <s v="Consumer"/>
    <s v="United States"/>
    <s v="Philadelphia"/>
    <s v="Pennsylvania"/>
    <n v="19140"/>
    <s v="East"/>
    <s v="OFF-BI-10000474"/>
    <s v="Office Supplies"/>
    <s v="Binders"/>
    <s v="Avery Recycled Flexi-View Covers for Binding Systems"/>
    <n v="9.6180000000000003"/>
    <n v="2"/>
    <n v="0.7"/>
    <n v="-7.0532000000000004"/>
    <n v="-0.73333333333333339"/>
    <n v="4"/>
  </r>
  <r>
    <n v="30"/>
    <x v="14"/>
    <d v="2015-09-17T00:00:00"/>
    <d v="2015-09-21T00:00:00"/>
    <x v="1"/>
    <s v="TB-21520"/>
    <s v="Tracy Blumstein"/>
    <s v="Consumer"/>
    <s v="United States"/>
    <s v="Philadelphia"/>
    <s v="Pennsylvania"/>
    <n v="19140"/>
    <s v="East"/>
    <s v="FUR-FU-10004848"/>
    <s v="Furniture"/>
    <s v="Furnishings"/>
    <s v="Howard Miller 13-3/4&quot; Diameter Brushed Chrome Round Wall Clock"/>
    <n v="124.2"/>
    <n v="3"/>
    <n v="0.2"/>
    <n v="15.525"/>
    <n v="0.125"/>
    <n v="4"/>
  </r>
  <r>
    <n v="31"/>
    <x v="14"/>
    <d v="2015-09-17T00:00:00"/>
    <d v="2015-09-21T00:00:00"/>
    <x v="1"/>
    <s v="TB-21520"/>
    <s v="Tracy Blumstein"/>
    <s v="Consumer"/>
    <s v="United States"/>
    <s v="Philadelphia"/>
    <s v="Pennsylvania"/>
    <n v="19140"/>
    <s v="East"/>
    <s v="OFF-EN-10001509"/>
    <s v="Office Supplies"/>
    <s v="Envelopes"/>
    <s v="Poly String Tie Envelopes"/>
    <n v="3.2639999999999998"/>
    <n v="2"/>
    <n v="0.2"/>
    <n v="1.1015999999999999"/>
    <n v="0.33750000000000002"/>
    <n v="4"/>
  </r>
  <r>
    <n v="32"/>
    <x v="14"/>
    <d v="2015-09-17T00:00:00"/>
    <d v="2015-09-21T00:00:00"/>
    <x v="1"/>
    <s v="TB-21520"/>
    <s v="Tracy Blumstein"/>
    <s v="Consumer"/>
    <s v="United States"/>
    <s v="Philadelphia"/>
    <s v="Pennsylvania"/>
    <n v="19140"/>
    <s v="East"/>
    <s v="OFF-AR-10004042"/>
    <s v="Office Supplies"/>
    <s v="Art"/>
    <s v="BOSTON Model 1800 Electric Pencil Sharpeners, Putty/Woodgrain"/>
    <n v="86.304000000000002"/>
    <n v="6"/>
    <n v="0.2"/>
    <n v="9.7091999999999992"/>
    <n v="0.11249999999999999"/>
    <n v="4"/>
  </r>
  <r>
    <n v="33"/>
    <x v="14"/>
    <d v="2015-09-17T00:00:00"/>
    <d v="2015-09-21T00:00:00"/>
    <x v="1"/>
    <s v="TB-21520"/>
    <s v="Tracy Blumstein"/>
    <s v="Consumer"/>
    <s v="United States"/>
    <s v="Philadelphia"/>
    <s v="Pennsylvania"/>
    <n v="19140"/>
    <s v="East"/>
    <s v="OFF-BI-10001525"/>
    <s v="Office Supplies"/>
    <s v="Binders"/>
    <s v="Acco Pressboard Covers with Storage Hooks, 14 7/8&quot; x 11&quot;, Executive Red"/>
    <n v="6.8579999999999997"/>
    <n v="6"/>
    <n v="0.7"/>
    <n v="-5.7149999999999999"/>
    <n v="-0.83333333333333337"/>
    <n v="4"/>
  </r>
  <r>
    <n v="34"/>
    <x v="14"/>
    <d v="2015-09-17T00:00:00"/>
    <d v="2015-09-21T00:00:00"/>
    <x v="1"/>
    <s v="TB-21520"/>
    <s v="Tracy Blumstein"/>
    <s v="Consumer"/>
    <s v="United States"/>
    <s v="Philadelphia"/>
    <s v="Pennsylvania"/>
    <n v="19140"/>
    <s v="East"/>
    <s v="OFF-AR-10001683"/>
    <s v="Office Supplies"/>
    <s v="Art"/>
    <s v="Lumber Crayons"/>
    <n v="15.76"/>
    <n v="2"/>
    <n v="0.2"/>
    <n v="3.5459999999999998"/>
    <n v="0.22499999999999998"/>
    <n v="4"/>
  </r>
  <r>
    <n v="35"/>
    <x v="15"/>
    <d v="2017-10-19T00:00:00"/>
    <d v="2017-10-23T00:00:00"/>
    <x v="0"/>
    <s v="MA-17560"/>
    <s v="Matt Abelman"/>
    <s v="Home Office"/>
    <s v="United States"/>
    <s v="Houston"/>
    <s v="Texas"/>
    <n v="77095"/>
    <s v="Central"/>
    <s v="OFF-PA-10000249"/>
    <s v="Office Supplies"/>
    <s v="Paper"/>
    <s v="Easy-staple paper"/>
    <n v="29.472000000000001"/>
    <n v="3"/>
    <n v="0.2"/>
    <n v="9.9467999999999996"/>
    <n v="0.33749999999999997"/>
    <n v="4"/>
  </r>
  <r>
    <n v="36"/>
    <x v="16"/>
    <d v="2016-12-08T00:00:00"/>
    <d v="2016-12-10T00:00:00"/>
    <x v="2"/>
    <s v="GH-14485"/>
    <s v="Gene Hale"/>
    <s v="Corporate"/>
    <s v="United States"/>
    <s v="Richardson"/>
    <s v="Texas"/>
    <n v="75080"/>
    <s v="Central"/>
    <s v="TEC-PH-10004977"/>
    <s v="Technology"/>
    <s v="Phones"/>
    <s v="GE 30524EE4"/>
    <n v="1097.5440000000001"/>
    <n v="7"/>
    <n v="0.2"/>
    <n v="123.47369999999999"/>
    <n v="0.11249999999999999"/>
    <n v="2"/>
  </r>
  <r>
    <n v="37"/>
    <x v="16"/>
    <d v="2016-12-08T00:00:00"/>
    <d v="2016-12-10T00:00:00"/>
    <x v="2"/>
    <s v="GH-14485"/>
    <s v="Gene Hale"/>
    <s v="Corporate"/>
    <s v="United States"/>
    <s v="Richardson"/>
    <s v="Texas"/>
    <n v="75080"/>
    <s v="Central"/>
    <s v="FUR-FU-10003664"/>
    <s v="Furniture"/>
    <s v="Furnishings"/>
    <s v="Electrix Architect's Clamp-On Swing Arm Lamp, Black"/>
    <n v="190.92"/>
    <n v="5"/>
    <n v="0.6"/>
    <n v="-147.96299999999999"/>
    <n v="-0.77500000000000002"/>
    <n v="2"/>
  </r>
  <r>
    <n v="38"/>
    <x v="17"/>
    <d v="2015-12-27T00:00:00"/>
    <d v="2015-12-31T00:00:00"/>
    <x v="1"/>
    <s v="SN-20710"/>
    <s v="Steve Nguyen"/>
    <s v="Home Office"/>
    <s v="United States"/>
    <s v="Houston"/>
    <s v="Texas"/>
    <n v="77041"/>
    <s v="Central"/>
    <s v="OFF-EN-10002986"/>
    <s v="Office Supplies"/>
    <s v="Envelopes"/>
    <s v="#10-4 1/8&quot; x 9 1/2&quot; Premium Diagonal Seam Envelopes"/>
    <n v="113.328"/>
    <n v="9"/>
    <n v="0.2"/>
    <n v="35.414999999999999"/>
    <n v="0.3125"/>
    <n v="4"/>
  </r>
  <r>
    <n v="39"/>
    <x v="17"/>
    <d v="2015-12-27T00:00:00"/>
    <d v="2015-12-31T00:00:00"/>
    <x v="1"/>
    <s v="SN-20710"/>
    <s v="Steve Nguyen"/>
    <s v="Home Office"/>
    <s v="United States"/>
    <s v="Houston"/>
    <s v="Texas"/>
    <n v="77041"/>
    <s v="Central"/>
    <s v="FUR-BO-10002545"/>
    <s v="Furniture"/>
    <s v="Bookcases"/>
    <s v="Atlantic Metals Mobile 3-Shelf Bookcases, Custom Colors"/>
    <n v="532.39919999999995"/>
    <n v="3"/>
    <n v="0.32"/>
    <n v="-46.976399999999998"/>
    <n v="-8.8235294117647065E-2"/>
    <n v="4"/>
  </r>
  <r>
    <n v="40"/>
    <x v="17"/>
    <d v="2015-12-27T00:00:00"/>
    <d v="2015-12-31T00:00:00"/>
    <x v="1"/>
    <s v="SN-20710"/>
    <s v="Steve Nguyen"/>
    <s v="Home Office"/>
    <s v="United States"/>
    <s v="Houston"/>
    <s v="Texas"/>
    <n v="77041"/>
    <s v="Central"/>
    <s v="FUR-CH-10004218"/>
    <s v="Furniture"/>
    <s v="Chairs"/>
    <s v="Global Fabric Manager's Chair, Dark Gray"/>
    <n v="212.05799999999999"/>
    <n v="3"/>
    <n v="0.3"/>
    <n v="-15.147"/>
    <n v="-7.1428571428571438E-2"/>
    <n v="4"/>
  </r>
  <r>
    <n v="41"/>
    <x v="17"/>
    <d v="2015-12-27T00:00:00"/>
    <d v="2015-12-31T00:00:00"/>
    <x v="1"/>
    <s v="SN-20710"/>
    <s v="Steve Nguyen"/>
    <s v="Home Office"/>
    <s v="United States"/>
    <s v="Houston"/>
    <s v="Texas"/>
    <n v="77041"/>
    <s v="Central"/>
    <s v="TEC-PH-10000486"/>
    <s v="Technology"/>
    <s v="Phones"/>
    <s v="Plantronics HL10 Handset Lifter"/>
    <n v="371.16800000000001"/>
    <n v="4"/>
    <n v="0.2"/>
    <n v="41.756399999999999"/>
    <n v="0.1125"/>
    <n v="4"/>
  </r>
  <r>
    <n v="42"/>
    <x v="18"/>
    <d v="2017-09-10T00:00:00"/>
    <d v="2017-09-15T00:00:00"/>
    <x v="1"/>
    <s v="LC-16930"/>
    <s v="Linda Cazamias"/>
    <s v="Corporate"/>
    <s v="United States"/>
    <s v="Naperville"/>
    <s v="Illinois"/>
    <n v="60540"/>
    <s v="Central"/>
    <s v="TEC-PH-10004093"/>
    <s v="Technology"/>
    <s v="Phones"/>
    <s v="Panasonic Kx-TS550"/>
    <n v="147.16800000000001"/>
    <n v="4"/>
    <n v="0.2"/>
    <n v="16.5564"/>
    <n v="0.11249999999999999"/>
    <n v="5"/>
  </r>
  <r>
    <n v="43"/>
    <x v="19"/>
    <d v="2016-07-17T00:00:00"/>
    <d v="2016-07-22T00:00:00"/>
    <x v="1"/>
    <s v="RA-19885"/>
    <s v="Ruben Ausman"/>
    <s v="Corporate"/>
    <s v="United States"/>
    <s v="Los Angeles"/>
    <s v="California"/>
    <n v="90049"/>
    <s v="West"/>
    <s v="OFF-ST-10003479"/>
    <s v="Office Supplies"/>
    <s v="Storage"/>
    <s v="Eldon Base for stackable storage shelf, platinum"/>
    <n v="77.88"/>
    <n v="2"/>
    <n v="0"/>
    <n v="3.8940000000000001"/>
    <n v="0.05"/>
    <n v="5"/>
  </r>
  <r>
    <n v="44"/>
    <x v="20"/>
    <d v="2017-09-19T00:00:00"/>
    <d v="2017-09-23T00:00:00"/>
    <x v="1"/>
    <s v="ES-14080"/>
    <s v="Erin Smith"/>
    <s v="Corporate"/>
    <s v="United States"/>
    <s v="Melbourne"/>
    <s v="Florida"/>
    <n v="32935"/>
    <s v="South"/>
    <s v="OFF-ST-10003282"/>
    <s v="Office Supplies"/>
    <s v="Storage"/>
    <s v="Advantus 10-Drawer Portable Organizer, Chrome Metal Frame, Smoke Drawers"/>
    <n v="95.616"/>
    <n v="2"/>
    <n v="0.2"/>
    <n v="9.5616000000000003"/>
    <n v="0.1"/>
    <n v="4"/>
  </r>
  <r>
    <n v="45"/>
    <x v="21"/>
    <d v="2016-03-11T00:00:00"/>
    <d v="2016-03-13T00:00:00"/>
    <x v="2"/>
    <s v="ON-18715"/>
    <s v="Odella Nelson"/>
    <s v="Corporate"/>
    <s v="United States"/>
    <s v="Eagan"/>
    <s v="Minnesota"/>
    <n v="55122"/>
    <s v="Central"/>
    <s v="TEC-AC-10000171"/>
    <s v="Technology"/>
    <s v="Accessories"/>
    <s v="Verbatim 25 GB 6x Blu-ray Single Layer Recordable Disc, 25/Pack"/>
    <n v="45.98"/>
    <n v="2"/>
    <n v="0"/>
    <n v="19.7714"/>
    <n v="0.43000000000000005"/>
    <n v="2"/>
  </r>
  <r>
    <n v="46"/>
    <x v="21"/>
    <d v="2016-03-11T00:00:00"/>
    <d v="2016-03-13T00:00:00"/>
    <x v="2"/>
    <s v="ON-18715"/>
    <s v="Odella Nelson"/>
    <s v="Corporate"/>
    <s v="United States"/>
    <s v="Eagan"/>
    <s v="Minnesota"/>
    <n v="55122"/>
    <s v="Central"/>
    <s v="OFF-BI-10003291"/>
    <s v="Office Supplies"/>
    <s v="Binders"/>
    <s v="Wilson Jones Leather-Like Binders with DublLock Round Rings"/>
    <n v="17.46"/>
    <n v="2"/>
    <n v="0"/>
    <n v="8.2062000000000008"/>
    <n v="0.47000000000000003"/>
    <n v="2"/>
  </r>
  <r>
    <n v="47"/>
    <x v="22"/>
    <d v="2014-10-20T00:00:00"/>
    <d v="2014-10-25T00:00:00"/>
    <x v="0"/>
    <s v="PO-18865"/>
    <s v="Patrick O'Donnell"/>
    <s v="Consumer"/>
    <s v="United States"/>
    <s v="Westland"/>
    <s v="Michigan"/>
    <n v="48185"/>
    <s v="Central"/>
    <s v="OFF-ST-10001713"/>
    <s v="Office Supplies"/>
    <s v="Storage"/>
    <s v="Gould Plastics 9-Pocket Panel Bin, 18-3/8w x 5-1/4d x 20-1/2h, Black"/>
    <n v="211.96"/>
    <n v="4"/>
    <n v="0"/>
    <n v="8.4784000000000006"/>
    <n v="0.04"/>
    <n v="5"/>
  </r>
  <r>
    <n v="48"/>
    <x v="23"/>
    <d v="2016-06-20T00:00:00"/>
    <d v="2016-06-25T00:00:00"/>
    <x v="1"/>
    <s v="LH-16900"/>
    <s v="Lena Hernandez"/>
    <s v="Consumer"/>
    <s v="United States"/>
    <s v="Dover"/>
    <s v="Delaware"/>
    <n v="19901"/>
    <s v="East"/>
    <s v="TEC-AC-10002167"/>
    <s v="Technology"/>
    <s v="Accessories"/>
    <s v="Imation 8gb Micro Traveldrive Usb 2.0 Flash Drive"/>
    <n v="45"/>
    <n v="3"/>
    <n v="0"/>
    <n v="4.95"/>
    <n v="0.11"/>
    <n v="5"/>
  </r>
  <r>
    <n v="49"/>
    <x v="23"/>
    <d v="2016-06-20T00:00:00"/>
    <d v="2016-06-25T00:00:00"/>
    <x v="1"/>
    <s v="LH-16900"/>
    <s v="Lena Hernandez"/>
    <s v="Consumer"/>
    <s v="United States"/>
    <s v="Dover"/>
    <s v="Delaware"/>
    <n v="19901"/>
    <s v="East"/>
    <s v="TEC-PH-10003988"/>
    <s v="Technology"/>
    <s v="Phones"/>
    <s v="LF Elite 3D Dazzle Designer Hard Case Cover, Lf Stylus Pen and Wiper For Apple Iphone 5c Mini Lite"/>
    <n v="21.8"/>
    <n v="2"/>
    <n v="0"/>
    <n v="6.1040000000000001"/>
    <n v="0.27999999999999997"/>
    <n v="5"/>
  </r>
  <r>
    <n v="50"/>
    <x v="24"/>
    <d v="2015-04-18T00:00:00"/>
    <d v="2015-04-22T00:00:00"/>
    <x v="1"/>
    <s v="DP-13000"/>
    <s v="Darren Powers"/>
    <s v="Consumer"/>
    <s v="United States"/>
    <s v="New Albany"/>
    <s v="Indiana"/>
    <n v="47150"/>
    <s v="Central"/>
    <s v="OFF-BI-10004410"/>
    <s v="Office Supplies"/>
    <s v="Binders"/>
    <s v="C-Line Peel &amp; Stick Add-On Filing Pockets, 8-3/4 x 5-1/8, 10/Pack"/>
    <n v="38.22"/>
    <n v="6"/>
    <n v="0"/>
    <n v="17.9634"/>
    <n v="0.47000000000000003"/>
    <n v="4"/>
  </r>
  <r>
    <n v="51"/>
    <x v="24"/>
    <d v="2015-04-18T00:00:00"/>
    <d v="2015-04-22T00:00:00"/>
    <x v="1"/>
    <s v="DP-13000"/>
    <s v="Darren Powers"/>
    <s v="Consumer"/>
    <s v="United States"/>
    <s v="New Albany"/>
    <s v="Indiana"/>
    <n v="47150"/>
    <s v="Central"/>
    <s v="OFF-LA-10002762"/>
    <s v="Office Supplies"/>
    <s v="Labels"/>
    <s v="Avery 485"/>
    <n v="75.180000000000007"/>
    <n v="6"/>
    <n v="0"/>
    <n v="35.334600000000002"/>
    <n v="0.47"/>
    <n v="4"/>
  </r>
  <r>
    <n v="52"/>
    <x v="24"/>
    <d v="2015-04-18T00:00:00"/>
    <d v="2015-04-22T00:00:00"/>
    <x v="1"/>
    <s v="DP-13000"/>
    <s v="Darren Powers"/>
    <s v="Consumer"/>
    <s v="United States"/>
    <s v="New Albany"/>
    <s v="Indiana"/>
    <n v="47150"/>
    <s v="Central"/>
    <s v="FUR-FU-10001706"/>
    <s v="Furniture"/>
    <s v="Furnishings"/>
    <s v="Longer-Life Soft White Bulbs"/>
    <n v="6.16"/>
    <n v="2"/>
    <n v="0"/>
    <n v="2.9567999999999999"/>
    <n v="0.48"/>
    <n v="4"/>
  </r>
  <r>
    <n v="53"/>
    <x v="24"/>
    <d v="2015-04-18T00:00:00"/>
    <d v="2015-04-22T00:00:00"/>
    <x v="1"/>
    <s v="DP-13000"/>
    <s v="Darren Powers"/>
    <s v="Consumer"/>
    <s v="United States"/>
    <s v="New Albany"/>
    <s v="Indiana"/>
    <n v="47150"/>
    <s v="Central"/>
    <s v="FUR-CH-10003061"/>
    <s v="Furniture"/>
    <s v="Chairs"/>
    <s v="Global Leather Task Chair, Black"/>
    <n v="89.99"/>
    <n v="1"/>
    <n v="0"/>
    <n v="17.098099999999999"/>
    <n v="0.19"/>
    <n v="4"/>
  </r>
  <r>
    <n v="54"/>
    <x v="25"/>
    <d v="2016-12-11T00:00:00"/>
    <d v="2016-12-17T00:00:00"/>
    <x v="1"/>
    <s v="JM-15265"/>
    <s v="Janet Molinari"/>
    <s v="Corporate"/>
    <s v="United States"/>
    <s v="New York City"/>
    <s v="New York"/>
    <n v="10024"/>
    <s v="East"/>
    <s v="OFF-FA-10000304"/>
    <s v="Office Supplies"/>
    <s v="Fasteners"/>
    <s v="Advantus Push Pins"/>
    <n v="15.26"/>
    <n v="7"/>
    <n v="0"/>
    <n v="6.2565999999999997"/>
    <n v="0.41"/>
    <n v="6"/>
  </r>
  <r>
    <n v="55"/>
    <x v="25"/>
    <d v="2016-12-11T00:00:00"/>
    <d v="2016-12-17T00:00:00"/>
    <x v="1"/>
    <s v="JM-15265"/>
    <s v="Janet Molinari"/>
    <s v="Corporate"/>
    <s v="United States"/>
    <s v="New York City"/>
    <s v="New York"/>
    <n v="10024"/>
    <s v="East"/>
    <s v="TEC-PH-10002447"/>
    <s v="Technology"/>
    <s v="Phones"/>
    <s v="AT&amp;T CL83451 4-Handset Telephone"/>
    <n v="1029.95"/>
    <n v="5"/>
    <n v="0"/>
    <n v="298.68549999999999"/>
    <n v="0.28999999999999998"/>
    <n v="6"/>
  </r>
  <r>
    <n v="56"/>
    <x v="26"/>
    <d v="2016-06-17T00:00:00"/>
    <d v="2016-06-18T00:00:00"/>
    <x v="2"/>
    <s v="TB-21055"/>
    <s v="Ted Butterfield"/>
    <s v="Consumer"/>
    <s v="United States"/>
    <s v="Troy"/>
    <s v="New York"/>
    <n v="12180"/>
    <s v="East"/>
    <s v="OFF-ST-10000604"/>
    <s v="Office Supplies"/>
    <s v="Storage"/>
    <s v="Home/Office Personal File Carts"/>
    <n v="208.56"/>
    <n v="6"/>
    <n v="0"/>
    <n v="52.14"/>
    <n v="0.25"/>
    <n v="1"/>
  </r>
  <r>
    <n v="57"/>
    <x v="26"/>
    <d v="2016-06-17T00:00:00"/>
    <d v="2016-06-18T00:00:00"/>
    <x v="2"/>
    <s v="TB-21055"/>
    <s v="Ted Butterfield"/>
    <s v="Consumer"/>
    <s v="United States"/>
    <s v="Troy"/>
    <s v="New York"/>
    <n v="12180"/>
    <s v="East"/>
    <s v="OFF-PA-10001569"/>
    <s v="Office Supplies"/>
    <s v="Paper"/>
    <s v="Xerox 232"/>
    <n v="32.4"/>
    <n v="5"/>
    <n v="0"/>
    <n v="15.552"/>
    <n v="0.48"/>
    <n v="1"/>
  </r>
  <r>
    <n v="58"/>
    <x v="26"/>
    <d v="2016-06-17T00:00:00"/>
    <d v="2016-06-18T00:00:00"/>
    <x v="2"/>
    <s v="TB-21055"/>
    <s v="Ted Butterfield"/>
    <s v="Consumer"/>
    <s v="United States"/>
    <s v="Troy"/>
    <s v="New York"/>
    <n v="12180"/>
    <s v="East"/>
    <s v="FUR-CH-10003968"/>
    <s v="Furniture"/>
    <s v="Chairs"/>
    <s v="Novimex Turbo Task Chair"/>
    <n v="319.41000000000003"/>
    <n v="5"/>
    <n v="0.1"/>
    <n v="7.0979999999999999"/>
    <n v="2.222222222222222E-2"/>
    <n v="1"/>
  </r>
  <r>
    <n v="59"/>
    <x v="26"/>
    <d v="2016-06-17T00:00:00"/>
    <d v="2016-06-18T00:00:00"/>
    <x v="2"/>
    <s v="TB-21055"/>
    <s v="Ted Butterfield"/>
    <s v="Consumer"/>
    <s v="United States"/>
    <s v="Troy"/>
    <s v="New York"/>
    <n v="12180"/>
    <s v="East"/>
    <s v="OFF-PA-10000587"/>
    <s v="Office Supplies"/>
    <s v="Paper"/>
    <s v="Array Parchment Paper, Assorted Colors"/>
    <n v="14.56"/>
    <n v="2"/>
    <n v="0"/>
    <n v="6.9888000000000003"/>
    <n v="0.48"/>
    <n v="1"/>
  </r>
  <r>
    <n v="60"/>
    <x v="26"/>
    <d v="2016-06-17T00:00:00"/>
    <d v="2016-06-18T00:00:00"/>
    <x v="2"/>
    <s v="TB-21055"/>
    <s v="Ted Butterfield"/>
    <s v="Consumer"/>
    <s v="United States"/>
    <s v="Troy"/>
    <s v="New York"/>
    <n v="12180"/>
    <s v="East"/>
    <s v="TEC-AC-10002167"/>
    <s v="Technology"/>
    <s v="Accessories"/>
    <s v="Imation 8gb Micro Traveldrive Usb 2.0 Flash Drive"/>
    <n v="30"/>
    <n v="2"/>
    <n v="0"/>
    <n v="3.3"/>
    <n v="0.11"/>
    <n v="1"/>
  </r>
  <r>
    <n v="61"/>
    <x v="26"/>
    <d v="2016-06-17T00:00:00"/>
    <d v="2016-06-18T00:00:00"/>
    <x v="2"/>
    <s v="TB-21055"/>
    <s v="Ted Butterfield"/>
    <s v="Consumer"/>
    <s v="United States"/>
    <s v="Troy"/>
    <s v="New York"/>
    <n v="12180"/>
    <s v="East"/>
    <s v="OFF-BI-10001460"/>
    <s v="Office Supplies"/>
    <s v="Binders"/>
    <s v="Plastic Binding Combs"/>
    <n v="48.48"/>
    <n v="4"/>
    <n v="0.2"/>
    <n v="16.361999999999998"/>
    <n v="0.33749999999999997"/>
    <n v="1"/>
  </r>
  <r>
    <n v="62"/>
    <x v="26"/>
    <d v="2016-06-17T00:00:00"/>
    <d v="2016-06-18T00:00:00"/>
    <x v="2"/>
    <s v="TB-21055"/>
    <s v="Ted Butterfield"/>
    <s v="Consumer"/>
    <s v="United States"/>
    <s v="Troy"/>
    <s v="New York"/>
    <n v="12180"/>
    <s v="East"/>
    <s v="OFF-AR-10001868"/>
    <s v="Office Supplies"/>
    <s v="Art"/>
    <s v="Prang Dustless Chalk Sticks"/>
    <n v="1.68"/>
    <n v="1"/>
    <n v="0"/>
    <n v="0.84"/>
    <n v="0.5"/>
    <n v="1"/>
  </r>
  <r>
    <n v="63"/>
    <x v="27"/>
    <d v="2015-11-24T00:00:00"/>
    <d v="2015-11-30T00:00:00"/>
    <x v="1"/>
    <s v="KM-16720"/>
    <s v="Kunst Miller"/>
    <s v="Consumer"/>
    <s v="United States"/>
    <s v="Los Angeles"/>
    <s v="California"/>
    <n v="90004"/>
    <s v="West"/>
    <s v="TEC-AC-10004633"/>
    <s v="Technology"/>
    <s v="Accessories"/>
    <s v="Verbatim 25 GB 6x Blu-ray Single Layer Recordable Disc, 3/Pack"/>
    <n v="13.98"/>
    <n v="2"/>
    <n v="0"/>
    <n v="6.1512000000000002"/>
    <n v="0.44"/>
    <n v="6"/>
  </r>
  <r>
    <n v="64"/>
    <x v="27"/>
    <d v="2015-11-24T00:00:00"/>
    <d v="2015-11-30T00:00:00"/>
    <x v="1"/>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n v="0.36249999999999999"/>
    <n v="6"/>
  </r>
  <r>
    <n v="65"/>
    <x v="27"/>
    <d v="2015-11-24T00:00:00"/>
    <d v="2015-11-30T00:00:00"/>
    <x v="1"/>
    <s v="KM-16720"/>
    <s v="Kunst Miller"/>
    <s v="Consumer"/>
    <s v="United States"/>
    <s v="Los Angeles"/>
    <s v="California"/>
    <n v="90004"/>
    <s v="West"/>
    <s v="OFF-PA-10003892"/>
    <s v="Office Supplies"/>
    <s v="Paper"/>
    <s v="Xerox 1943"/>
    <n v="146.72999999999999"/>
    <n v="3"/>
    <n v="0"/>
    <n v="68.963099999999997"/>
    <n v="0.47000000000000003"/>
    <n v="6"/>
  </r>
  <r>
    <n v="66"/>
    <x v="27"/>
    <d v="2015-11-24T00:00:00"/>
    <d v="2015-11-30T00:00:00"/>
    <x v="1"/>
    <s v="KM-16720"/>
    <s v="Kunst Miller"/>
    <s v="Consumer"/>
    <s v="United States"/>
    <s v="Los Angeles"/>
    <s v="California"/>
    <n v="90004"/>
    <s v="West"/>
    <s v="FUR-FU-10000397"/>
    <s v="Furniture"/>
    <s v="Furnishings"/>
    <s v="Luxo Economy Swing Arm Lamp"/>
    <n v="79.760000000000005"/>
    <n v="4"/>
    <n v="0"/>
    <n v="22.332799999999999"/>
    <n v="0.27999999999999997"/>
    <n v="6"/>
  </r>
  <r>
    <n v="67"/>
    <x v="28"/>
    <d v="2015-04-30T00:00:00"/>
    <d v="2015-05-05T00:00:00"/>
    <x v="1"/>
    <s v="PS-18970"/>
    <s v="Paul Stevenson"/>
    <s v="Home Office"/>
    <s v="United States"/>
    <s v="Chicago"/>
    <s v="Illinois"/>
    <n v="60610"/>
    <s v="Central"/>
    <s v="FUR-CH-10001146"/>
    <s v="Furniture"/>
    <s v="Chairs"/>
    <s v="Global Value Mid-Back Manager's Chair, Gray"/>
    <n v="213.11500000000001"/>
    <n v="5"/>
    <n v="0.3"/>
    <n v="-15.2225"/>
    <n v="-7.1428571428571425E-2"/>
    <n v="5"/>
  </r>
  <r>
    <n v="68"/>
    <x v="29"/>
    <d v="2014-12-05T00:00:00"/>
    <d v="2014-12-10T00:00:00"/>
    <x v="1"/>
    <s v="BS-11590"/>
    <s v="Brendan Sweed"/>
    <s v="Corporate"/>
    <s v="United States"/>
    <s v="Gilbert"/>
    <s v="Arizona"/>
    <n v="85234"/>
    <s v="West"/>
    <s v="OFF-AR-10002671"/>
    <s v="Office Supplies"/>
    <s v="Art"/>
    <s v="Hunt BOSTON Model 1606 High-Volume Electric Pencil Sharpener, Beige"/>
    <n v="1113.0239999999999"/>
    <n v="8"/>
    <n v="0.2"/>
    <n v="111.30240000000001"/>
    <n v="0.10000000000000002"/>
    <n v="5"/>
  </r>
  <r>
    <n v="69"/>
    <x v="29"/>
    <d v="2014-12-05T00:00:00"/>
    <d v="2014-12-10T00:00:00"/>
    <x v="1"/>
    <s v="BS-11590"/>
    <s v="Brendan Sweed"/>
    <s v="Corporate"/>
    <s v="United States"/>
    <s v="Gilbert"/>
    <s v="Arizona"/>
    <n v="85234"/>
    <s v="West"/>
    <s v="TEC-PH-10002726"/>
    <s v="Technology"/>
    <s v="Phones"/>
    <s v="netTALK DUO VoIP Telephone Service"/>
    <n v="167.96799999999999"/>
    <n v="4"/>
    <n v="0.2"/>
    <n v="62.988"/>
    <n v="0.375"/>
    <n v="5"/>
  </r>
  <r>
    <n v="70"/>
    <x v="30"/>
    <d v="2016-06-04T00:00:00"/>
    <d v="2016-06-06T00:00:00"/>
    <x v="2"/>
    <s v="KD-16270"/>
    <s v="Karen Daniels"/>
    <s v="Consumer"/>
    <s v="United States"/>
    <s v="Springfield"/>
    <s v="Virginia"/>
    <n v="22153"/>
    <s v="South"/>
    <s v="OFF-PA-10000482"/>
    <s v="Office Supplies"/>
    <s v="Paper"/>
    <s v="Snap-A-Way Black Print Carbonless Ruled Speed Letter, Triplicate"/>
    <n v="75.88"/>
    <n v="2"/>
    <n v="0"/>
    <n v="35.663600000000002"/>
    <n v="0.47000000000000008"/>
    <n v="2"/>
  </r>
  <r>
    <n v="71"/>
    <x v="31"/>
    <d v="2016-09-18T00:00:00"/>
    <d v="2016-09-23T00:00:00"/>
    <x v="1"/>
    <s v="HM-14980"/>
    <s v="Henry MacAllister"/>
    <s v="Consumer"/>
    <s v="United States"/>
    <s v="New York City"/>
    <s v="New York"/>
    <n v="10009"/>
    <s v="East"/>
    <s v="OFF-BI-10004654"/>
    <s v="Office Supplies"/>
    <s v="Binders"/>
    <s v="Avery Binding System Hidden Tab Executive Style Index Sets"/>
    <n v="4.6159999999999997"/>
    <n v="1"/>
    <n v="0.2"/>
    <n v="1.7310000000000001"/>
    <n v="0.37500000000000006"/>
    <n v="5"/>
  </r>
  <r>
    <n v="72"/>
    <x v="32"/>
    <d v="2017-09-14T00:00:00"/>
    <d v="2017-09-17T00:00:00"/>
    <x v="0"/>
    <s v="TB-21520"/>
    <s v="Tracy Blumstein"/>
    <s v="Consumer"/>
    <s v="United States"/>
    <s v="Jackson"/>
    <s v="Michigan"/>
    <n v="49201"/>
    <s v="Central"/>
    <s v="OFF-PA-10004675"/>
    <s v="Office Supplies"/>
    <s v="Paper"/>
    <s v="Telephone Message Books with Fax/Mobile Section, 5 1/2&quot; x 3 3/16&quot;"/>
    <n v="19.05"/>
    <n v="3"/>
    <n v="0"/>
    <n v="8.7629999999999999"/>
    <n v="0.45999999999999996"/>
    <n v="3"/>
  </r>
  <r>
    <n v="73"/>
    <x v="33"/>
    <d v="2015-04-26T00:00:00"/>
    <d v="2015-05-02T00:00:00"/>
    <x v="1"/>
    <s v="JE-15745"/>
    <s v="Joel Eaton"/>
    <s v="Consumer"/>
    <s v="United States"/>
    <s v="Memphis"/>
    <s v="Tennessee"/>
    <n v="38109"/>
    <s v="South"/>
    <s v="FUR-CH-10000513"/>
    <s v="Furniture"/>
    <s v="Chairs"/>
    <s v="High-Back Leather Manager's Chair"/>
    <n v="831.93600000000004"/>
    <n v="8"/>
    <n v="0.2"/>
    <n v="-114.3912"/>
    <n v="-0.13749999999999998"/>
    <n v="6"/>
  </r>
  <r>
    <n v="74"/>
    <x v="33"/>
    <d v="2015-04-26T00:00:00"/>
    <d v="2015-05-02T00:00:00"/>
    <x v="1"/>
    <s v="JE-15745"/>
    <s v="Joel Eaton"/>
    <s v="Consumer"/>
    <s v="United States"/>
    <s v="Memphis"/>
    <s v="Tennessee"/>
    <n v="38109"/>
    <s v="South"/>
    <s v="FUR-FU-10003708"/>
    <s v="Furniture"/>
    <s v="Furnishings"/>
    <s v="Tenex Traditional Chairmats for Medium Pile Carpet, Standard Lip, 36&quot; x 48&quot;"/>
    <n v="97.04"/>
    <n v="2"/>
    <n v="0.2"/>
    <n v="1.2130000000000001"/>
    <n v="1.2500000000000001E-2"/>
    <n v="6"/>
  </r>
  <r>
    <n v="75"/>
    <x v="33"/>
    <d v="2015-04-26T00:00:00"/>
    <d v="2015-05-02T00:00:00"/>
    <x v="1"/>
    <s v="JE-15745"/>
    <s v="Joel Eaton"/>
    <s v="Consumer"/>
    <s v="United States"/>
    <s v="Memphis"/>
    <s v="Tennessee"/>
    <n v="38109"/>
    <s v="South"/>
    <s v="OFF-ST-10004123"/>
    <s v="Office Supplies"/>
    <s v="Storage"/>
    <s v="Safco Industrial Wire Shelving System"/>
    <n v="72.784000000000006"/>
    <n v="1"/>
    <n v="0.2"/>
    <n v="-18.196000000000002"/>
    <n v="-0.25"/>
    <n v="6"/>
  </r>
  <r>
    <n v="76"/>
    <x v="34"/>
    <d v="2017-12-09T00:00:00"/>
    <d v="2017-12-11T00:00:00"/>
    <x v="2"/>
    <s v="KB-16600"/>
    <s v="Ken Brennan"/>
    <s v="Corporate"/>
    <s v="United States"/>
    <s v="Houston"/>
    <s v="Texas"/>
    <n v="77041"/>
    <s v="Central"/>
    <s v="OFF-BI-10004182"/>
    <s v="Office Supplies"/>
    <s v="Binders"/>
    <s v="Economy Binders"/>
    <n v="1.248"/>
    <n v="3"/>
    <n v="0.8"/>
    <n v="-1.9343999999999999"/>
    <n v="-1.5499999999999998"/>
    <n v="2"/>
  </r>
  <r>
    <n v="77"/>
    <x v="34"/>
    <d v="2017-12-09T00:00:00"/>
    <d v="2017-12-11T00:00:00"/>
    <x v="2"/>
    <s v="KB-16600"/>
    <s v="Ken Brennan"/>
    <s v="Corporate"/>
    <s v="United States"/>
    <s v="Houston"/>
    <s v="Texas"/>
    <n v="77041"/>
    <s v="Central"/>
    <s v="FUR-FU-10000260"/>
    <s v="Furniture"/>
    <s v="Furnishings"/>
    <s v="6&quot; Cubicle Wall Clock, Black"/>
    <n v="9.7080000000000002"/>
    <n v="3"/>
    <n v="0.6"/>
    <n v="-5.8247999999999998"/>
    <n v="-0.6"/>
    <n v="2"/>
  </r>
  <r>
    <n v="78"/>
    <x v="34"/>
    <d v="2017-12-09T00:00:00"/>
    <d v="2017-12-11T00:00:00"/>
    <x v="2"/>
    <s v="KB-16600"/>
    <s v="Ken Brennan"/>
    <s v="Corporate"/>
    <s v="United States"/>
    <s v="Houston"/>
    <s v="Texas"/>
    <n v="77041"/>
    <s v="Central"/>
    <s v="OFF-ST-10000615"/>
    <s v="Office Supplies"/>
    <s v="Storage"/>
    <s v="SimpliFile Personal File, Black Granite, 15w x 6-15/16d x 11-1/4h"/>
    <n v="27.24"/>
    <n v="3"/>
    <n v="0.2"/>
    <n v="2.7240000000000002"/>
    <n v="0.10000000000000002"/>
    <n v="2"/>
  </r>
  <r>
    <n v="79"/>
    <x v="35"/>
    <d v="2014-11-26T00:00:00"/>
    <d v="2014-12-01T00:00:00"/>
    <x v="0"/>
    <s v="JE-15745"/>
    <s v="Joel Eaton"/>
    <s v="Consumer"/>
    <s v="United States"/>
    <s v="Houston"/>
    <s v="Texas"/>
    <n v="77070"/>
    <s v="Central"/>
    <s v="FUR-FU-10003194"/>
    <s v="Furniture"/>
    <s v="Furnishings"/>
    <s v="Eldon Expressions Desk Accessory, Wood Pencil Holder, Oak"/>
    <n v="19.3"/>
    <n v="5"/>
    <n v="0.6"/>
    <n v="-14.475"/>
    <n v="-0.75"/>
    <n v="5"/>
  </r>
  <r>
    <n v="80"/>
    <x v="36"/>
    <d v="2016-06-12T00:00:00"/>
    <d v="2016-06-15T00:00:00"/>
    <x v="2"/>
    <s v="SC-20770"/>
    <s v="Stewart Carmichael"/>
    <s v="Corporate"/>
    <s v="United States"/>
    <s v="Decatur"/>
    <s v="Alabama"/>
    <n v="35601"/>
    <s v="South"/>
    <s v="OFF-AP-10002118"/>
    <s v="Office Supplies"/>
    <s v="Appliances"/>
    <s v="1.7 Cubic Foot Compact &quot;Cube&quot; Office Refrigerators"/>
    <n v="208.16"/>
    <n v="1"/>
    <n v="0"/>
    <n v="56.203200000000002"/>
    <n v="0.27"/>
    <n v="3"/>
  </r>
  <r>
    <n v="81"/>
    <x v="36"/>
    <d v="2016-06-12T00:00:00"/>
    <d v="2016-06-15T00:00:00"/>
    <x v="2"/>
    <s v="SC-20770"/>
    <s v="Stewart Carmichael"/>
    <s v="Corporate"/>
    <s v="United States"/>
    <s v="Decatur"/>
    <s v="Alabama"/>
    <n v="35601"/>
    <s v="South"/>
    <s v="OFF-BI-10002309"/>
    <s v="Office Supplies"/>
    <s v="Binders"/>
    <s v="Avery Heavy-Duty EZD  Binder With Locking Rings"/>
    <n v="16.739999999999998"/>
    <n v="3"/>
    <n v="0"/>
    <n v="8.0351999999999997"/>
    <n v="0.48000000000000004"/>
    <n v="3"/>
  </r>
  <r>
    <n v="82"/>
    <x v="37"/>
    <d v="2014-10-12T00:00:00"/>
    <d v="2014-10-16T00:00:00"/>
    <x v="1"/>
    <s v="DN-13690"/>
    <s v="Duane Noonan"/>
    <s v="Consumer"/>
    <s v="United States"/>
    <s v="San Francisco"/>
    <s v="California"/>
    <n v="94122"/>
    <s v="West"/>
    <s v="OFF-AR-10002053"/>
    <s v="Office Supplies"/>
    <s v="Art"/>
    <s v="Premium Writing Pencils, Soft, #2 by Central Association for the Blind"/>
    <n v="14.9"/>
    <n v="5"/>
    <n v="0"/>
    <n v="4.1719999999999997"/>
    <n v="0.27999999999999997"/>
    <n v="4"/>
  </r>
  <r>
    <n v="83"/>
    <x v="37"/>
    <d v="2014-10-12T00:00:00"/>
    <d v="2014-10-16T00:00:00"/>
    <x v="1"/>
    <s v="DN-13690"/>
    <s v="Duane Noonan"/>
    <s v="Consumer"/>
    <s v="United States"/>
    <s v="San Francisco"/>
    <s v="California"/>
    <n v="94122"/>
    <s v="West"/>
    <s v="OFF-ST-10002370"/>
    <s v="Office Supplies"/>
    <s v="Storage"/>
    <s v="Sortfiler Multipurpose Personal File Organizer, Black"/>
    <n v="21.39"/>
    <n v="1"/>
    <n v="0"/>
    <n v="6.2031000000000001"/>
    <n v="0.28999999999999998"/>
    <n v="4"/>
  </r>
  <r>
    <n v="84"/>
    <x v="38"/>
    <d v="2015-09-03T00:00:00"/>
    <d v="2015-09-08T00:00:00"/>
    <x v="1"/>
    <s v="JC-16105"/>
    <s v="Julie Creighton"/>
    <s v="Corporate"/>
    <s v="United States"/>
    <s v="Durham"/>
    <s v="North Carolina"/>
    <n v="27707"/>
    <s v="South"/>
    <s v="OFF-EN-10000927"/>
    <s v="Office Supplies"/>
    <s v="Envelopes"/>
    <s v="Jet-Pak Recycled Peel 'N' Seal Padded Mailers"/>
    <n v="200.98400000000001"/>
    <n v="7"/>
    <n v="0.2"/>
    <n v="62.807499999999997"/>
    <n v="0.3125"/>
    <n v="5"/>
  </r>
  <r>
    <n v="85"/>
    <x v="39"/>
    <d v="2017-11-13T00:00:00"/>
    <d v="2017-11-16T00:00:00"/>
    <x v="2"/>
    <s v="CS-12400"/>
    <s v="Christopher Schild"/>
    <s v="Home Office"/>
    <s v="United States"/>
    <s v="Chicago"/>
    <s v="Illinois"/>
    <n v="60623"/>
    <s v="Central"/>
    <s v="OFF-ST-10003656"/>
    <s v="Office Supplies"/>
    <s v="Storage"/>
    <s v="Safco Industrial Wire Shelving"/>
    <n v="230.376"/>
    <n v="3"/>
    <n v="0.2"/>
    <n v="-48.954900000000002"/>
    <n v="-0.21249999999999999"/>
    <n v="3"/>
  </r>
  <r>
    <n v="86"/>
    <x v="40"/>
    <d v="2017-05-28T00:00:00"/>
    <d v="2017-05-30T00:00:00"/>
    <x v="0"/>
    <s v="PO-18865"/>
    <s v="Patrick O'Donnell"/>
    <s v="Consumer"/>
    <s v="United States"/>
    <s v="Columbia"/>
    <s v="South Carolina"/>
    <n v="29203"/>
    <s v="South"/>
    <s v="FUR-CH-10000863"/>
    <s v="Furniture"/>
    <s v="Chairs"/>
    <s v="Novimex Swivel Fabric Task Chair"/>
    <n v="301.95999999999998"/>
    <n v="2"/>
    <n v="0"/>
    <n v="33.215600000000002"/>
    <n v="0.11000000000000001"/>
    <n v="2"/>
  </r>
  <r>
    <n v="87"/>
    <x v="41"/>
    <d v="2017-10-26T00:00:00"/>
    <d v="2017-11-02T00:00:00"/>
    <x v="1"/>
    <s v="PG-18895"/>
    <s v="Paul Gonzalez"/>
    <s v="Consumer"/>
    <s v="United States"/>
    <s v="Rochester"/>
    <s v="Minnesota"/>
    <n v="55901"/>
    <s v="Central"/>
    <s v="TEC-AC-10001998"/>
    <s v="Technology"/>
    <s v="Accessories"/>
    <s v="Logitech LS21 Speaker System - PC Multimedia - 2.1-CH - Wired"/>
    <n v="19.989999999999998"/>
    <n v="1"/>
    <n v="0"/>
    <n v="6.7965999999999998"/>
    <n v="0.34"/>
    <n v="7"/>
  </r>
  <r>
    <n v="88"/>
    <x v="41"/>
    <d v="2017-10-26T00:00:00"/>
    <d v="2017-11-02T00:00:00"/>
    <x v="1"/>
    <s v="PG-18895"/>
    <s v="Paul Gonzalez"/>
    <s v="Consumer"/>
    <s v="United States"/>
    <s v="Rochester"/>
    <s v="Minnesota"/>
    <n v="55901"/>
    <s v="Central"/>
    <s v="OFF-LA-10000134"/>
    <s v="Office Supplies"/>
    <s v="Labels"/>
    <s v="Avery 511"/>
    <n v="6.16"/>
    <n v="2"/>
    <n v="0"/>
    <n v="2.9567999999999999"/>
    <n v="0.48"/>
    <n v="7"/>
  </r>
  <r>
    <n v="89"/>
    <x v="42"/>
    <d v="2016-04-05T00:00:00"/>
    <d v="2016-04-10T00:00:00"/>
    <x v="0"/>
    <s v="GM-14455"/>
    <s v="Gary Mitchum"/>
    <s v="Home Office"/>
    <s v="United States"/>
    <s v="Houston"/>
    <s v="Texas"/>
    <n v="77095"/>
    <s v="Central"/>
    <s v="OFF-ST-10003442"/>
    <s v="Office Supplies"/>
    <s v="Storage"/>
    <s v="Eldon Portable Mobile Manager"/>
    <n v="158.36799999999999"/>
    <n v="7"/>
    <n v="0.2"/>
    <n v="13.857200000000001"/>
    <n v="8.7500000000000008E-2"/>
    <n v="5"/>
  </r>
  <r>
    <n v="90"/>
    <x v="43"/>
    <d v="2016-09-17T00:00:00"/>
    <d v="2016-09-22T00:00:00"/>
    <x v="1"/>
    <s v="JS-15685"/>
    <s v="Jim Sink"/>
    <s v="Corporate"/>
    <s v="United States"/>
    <s v="Los Angeles"/>
    <s v="California"/>
    <n v="90036"/>
    <s v="West"/>
    <s v="OFF-AR-10004930"/>
    <s v="Office Supplies"/>
    <s v="Art"/>
    <s v="Turquoise Lead Holder with Pocket Clip"/>
    <n v="20.100000000000001"/>
    <n v="3"/>
    <n v="0"/>
    <n v="6.633"/>
    <n v="0.32999999999999996"/>
    <n v="5"/>
  </r>
  <r>
    <n v="91"/>
    <x v="43"/>
    <d v="2016-09-17T00:00:00"/>
    <d v="2016-09-22T00:00:00"/>
    <x v="1"/>
    <s v="JS-15685"/>
    <s v="Jim Sink"/>
    <s v="Corporate"/>
    <s v="United States"/>
    <s v="Los Angeles"/>
    <s v="California"/>
    <n v="90036"/>
    <s v="West"/>
    <s v="TEC-PH-10004093"/>
    <s v="Technology"/>
    <s v="Phones"/>
    <s v="Panasonic Kx-TS550"/>
    <n v="73.584000000000003"/>
    <n v="2"/>
    <n v="0.2"/>
    <n v="8.2782"/>
    <n v="0.11249999999999999"/>
    <n v="5"/>
  </r>
  <r>
    <n v="92"/>
    <x v="43"/>
    <d v="2016-09-17T00:00:00"/>
    <d v="2016-09-22T00:00:00"/>
    <x v="1"/>
    <s v="JS-15685"/>
    <s v="Jim Sink"/>
    <s v="Corporate"/>
    <s v="United States"/>
    <s v="Los Angeles"/>
    <s v="California"/>
    <n v="90036"/>
    <s v="West"/>
    <s v="OFF-PA-10000304"/>
    <s v="Office Supplies"/>
    <s v="Paper"/>
    <s v="Xerox 1995"/>
    <n v="6.48"/>
    <n v="1"/>
    <n v="0"/>
    <n v="3.1103999999999998"/>
    <n v="0.47999999999999993"/>
    <n v="5"/>
  </r>
  <r>
    <n v="93"/>
    <x v="44"/>
    <d v="2015-01-31T00:00:00"/>
    <d v="2015-02-05T00:00:00"/>
    <x v="0"/>
    <s v="KB-16315"/>
    <s v="Karl Braun"/>
    <s v="Consumer"/>
    <s v="United States"/>
    <s v="Minneapolis"/>
    <s v="Minnesota"/>
    <n v="55407"/>
    <s v="Central"/>
    <s v="OFF-PA-10003177"/>
    <s v="Office Supplies"/>
    <s v="Paper"/>
    <s v="Xerox 1999"/>
    <n v="12.96"/>
    <n v="2"/>
    <n v="0"/>
    <n v="6.2207999999999997"/>
    <n v="0.47999999999999993"/>
    <n v="5"/>
  </r>
  <r>
    <n v="94"/>
    <x v="44"/>
    <d v="2015-01-31T00:00:00"/>
    <d v="2015-02-05T00:00:00"/>
    <x v="0"/>
    <s v="KB-16315"/>
    <s v="Karl Braun"/>
    <s v="Consumer"/>
    <s v="United States"/>
    <s v="Minneapolis"/>
    <s v="Minnesota"/>
    <n v="55407"/>
    <s v="Central"/>
    <s v="FUR-FU-10003799"/>
    <s v="Furniture"/>
    <s v="Furnishings"/>
    <s v="Seth Thomas 13 1/2&quot; Wall Clock"/>
    <n v="53.34"/>
    <n v="3"/>
    <n v="0"/>
    <n v="16.535399999999999"/>
    <n v="0.30999999999999994"/>
    <n v="5"/>
  </r>
  <r>
    <n v="95"/>
    <x v="44"/>
    <d v="2015-01-31T00:00:00"/>
    <d v="2015-02-05T00:00:00"/>
    <x v="0"/>
    <s v="KB-16315"/>
    <s v="Karl Braun"/>
    <s v="Consumer"/>
    <s v="United States"/>
    <s v="Minneapolis"/>
    <s v="Minnesota"/>
    <n v="55407"/>
    <s v="Central"/>
    <s v="OFF-BI-10002852"/>
    <s v="Office Supplies"/>
    <s v="Binders"/>
    <s v="Ibico Standard Transparent Covers"/>
    <n v="32.96"/>
    <n v="2"/>
    <n v="0"/>
    <n v="16.150400000000001"/>
    <n v="0.49000000000000005"/>
    <n v="5"/>
  </r>
  <r>
    <n v="96"/>
    <x v="45"/>
    <d v="2017-11-06T00:00:00"/>
    <d v="2017-11-12T00:00:00"/>
    <x v="1"/>
    <s v="RB-19705"/>
    <s v="Roger Barcio"/>
    <s v="Home Office"/>
    <s v="United States"/>
    <s v="Portland"/>
    <s v="Oregon"/>
    <n v="97206"/>
    <s v="West"/>
    <s v="OFF-BI-10004738"/>
    <s v="Office Supplies"/>
    <s v="Binders"/>
    <s v="Flexible Leather- Look Classic Collection Ring Binder"/>
    <n v="5.6820000000000004"/>
    <n v="1"/>
    <n v="0.7"/>
    <n v="-3.7879999999999998"/>
    <n v="-0.66666666666666663"/>
    <n v="6"/>
  </r>
  <r>
    <n v="97"/>
    <x v="46"/>
    <d v="2017-11-09T00:00:00"/>
    <d v="2017-11-11T00:00:00"/>
    <x v="0"/>
    <s v="PN-18775"/>
    <s v="Parhena Norris"/>
    <s v="Home Office"/>
    <s v="United States"/>
    <s v="New York City"/>
    <s v="New York"/>
    <n v="10009"/>
    <s v="East"/>
    <s v="FUR-FU-10000629"/>
    <s v="Furniture"/>
    <s v="Furnishings"/>
    <s v="9-3/4 Diameter Round Wall Clock"/>
    <n v="96.53"/>
    <n v="7"/>
    <n v="0"/>
    <n v="40.5426"/>
    <n v="0.42"/>
    <n v="2"/>
  </r>
  <r>
    <n v="98"/>
    <x v="47"/>
    <d v="2017-06-17T00:00:00"/>
    <d v="2017-06-20T00:00:00"/>
    <x v="2"/>
    <s v="KD-16345"/>
    <s v="Katherine Ducich"/>
    <s v="Consumer"/>
    <s v="United States"/>
    <s v="San Francisco"/>
    <s v="California"/>
    <n v="94122"/>
    <s v="West"/>
    <s v="OFF-BI-10001721"/>
    <s v="Office Supplies"/>
    <s v="Binders"/>
    <s v="Trimflex Flexible Post Binders"/>
    <n v="51.311999999999998"/>
    <n v="3"/>
    <n v="0.2"/>
    <n v="17.959199999999999"/>
    <n v="0.35"/>
    <n v="3"/>
  </r>
  <r>
    <n v="99"/>
    <x v="48"/>
    <d v="2016-09-06T00:00:00"/>
    <d v="2016-09-11T00:00:00"/>
    <x v="1"/>
    <s v="ER-13855"/>
    <s v="Elpida Rittenbach"/>
    <s v="Corporate"/>
    <s v="United States"/>
    <s v="Saint Paul"/>
    <s v="Minnesota"/>
    <n v="55106"/>
    <s v="Central"/>
    <s v="OFF-AP-10000358"/>
    <s v="Office Supplies"/>
    <s v="Appliances"/>
    <s v="Fellowes Basic Home/Office Series Surge Protectors"/>
    <n v="77.88"/>
    <n v="6"/>
    <n v="0"/>
    <n v="22.5852"/>
    <n v="0.29000000000000004"/>
    <n v="5"/>
  </r>
  <r>
    <n v="100"/>
    <x v="49"/>
    <d v="2016-08-29T00:00:00"/>
    <d v="2016-09-02T00:00:00"/>
    <x v="1"/>
    <s v="RB-19465"/>
    <s v="Rick Bensley"/>
    <s v="Home Office"/>
    <s v="United States"/>
    <s v="Chicago"/>
    <s v="Illinois"/>
    <n v="60610"/>
    <s v="Central"/>
    <s v="OFF-PA-10003256"/>
    <s v="Office Supplies"/>
    <s v="Paper"/>
    <s v="Avery Personal Creations Heavyweight Cards"/>
    <n v="64.623999999999995"/>
    <n v="7"/>
    <n v="0.2"/>
    <n v="22.618400000000001"/>
    <n v="0.35000000000000003"/>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CA-2016-152156"/>
    <x v="0"/>
    <d v="2016-11-11T00:00:00"/>
    <s v="Second Class"/>
    <s v="CG-12520"/>
    <x v="0"/>
    <x v="0"/>
    <s v="United States"/>
    <s v="Henderson"/>
    <x v="0"/>
    <n v="42420"/>
    <x v="0"/>
    <s v="FUR-BO-10001798"/>
    <x v="0"/>
    <s v="Bookcases"/>
    <s v="Bush Somerset Collection Bookcase"/>
    <n v="261.95999999999998"/>
    <n v="2"/>
    <n v="0"/>
    <n v="41.913600000000002"/>
    <n v="0.16000000000000003"/>
  </r>
  <r>
    <n v="2"/>
    <s v="CA-2016-152156"/>
    <x v="0"/>
    <d v="2016-11-11T00:00:00"/>
    <s v="Second Class"/>
    <s v="CG-12520"/>
    <x v="0"/>
    <x v="0"/>
    <s v="United States"/>
    <s v="Henderson"/>
    <x v="0"/>
    <n v="42420"/>
    <x v="0"/>
    <s v="FUR-CH-10000454"/>
    <x v="0"/>
    <s v="Chairs"/>
    <s v="Hon Deluxe Fabric Upholstered Stacking Chairs, Rounded Back"/>
    <n v="731.94"/>
    <n v="3"/>
    <n v="0"/>
    <n v="219.58199999999999"/>
    <n v="0.3"/>
  </r>
  <r>
    <n v="3"/>
    <s v="CA-2016-138688"/>
    <x v="1"/>
    <d v="2016-06-16T00:00:00"/>
    <s v="Second Class"/>
    <s v="DV-13045"/>
    <x v="1"/>
    <x v="1"/>
    <s v="United States"/>
    <s v="Los Angeles"/>
    <x v="1"/>
    <n v="90036"/>
    <x v="1"/>
    <s v="OFF-LA-10000240"/>
    <x v="1"/>
    <s v="Labels"/>
    <s v="Self-Adhesive Address Labels for Typewriters by Universal"/>
    <n v="14.62"/>
    <n v="2"/>
    <n v="0"/>
    <n v="6.8714000000000004"/>
    <n v="0.47000000000000003"/>
  </r>
  <r>
    <n v="4"/>
    <s v="US-2015-108966"/>
    <x v="2"/>
    <d v="2015-10-18T00:00:00"/>
    <s v="Standard Class"/>
    <s v="SO-20335"/>
    <x v="2"/>
    <x v="0"/>
    <s v="United States"/>
    <s v="Fort Lauderdale"/>
    <x v="2"/>
    <n v="33311"/>
    <x v="0"/>
    <s v="FUR-TA-10000577"/>
    <x v="0"/>
    <s v="Tables"/>
    <s v="Bretford CR4500 Series Slim Rectangular Table"/>
    <n v="957.57749999999999"/>
    <n v="5"/>
    <n v="0.45"/>
    <n v="-383.03100000000001"/>
    <n v="-0.4"/>
  </r>
  <r>
    <n v="5"/>
    <s v="US-2015-108966"/>
    <x v="2"/>
    <d v="2015-10-18T00:00:00"/>
    <s v="Standard Class"/>
    <s v="SO-20335"/>
    <x v="2"/>
    <x v="0"/>
    <s v="United States"/>
    <s v="Fort Lauderdale"/>
    <x v="2"/>
    <n v="33311"/>
    <x v="0"/>
    <s v="OFF-ST-10000760"/>
    <x v="1"/>
    <s v="Storage"/>
    <s v="Eldon Fold 'N Roll Cart System"/>
    <n v="22.367999999999999"/>
    <n v="2"/>
    <n v="0.2"/>
    <n v="2.5164"/>
    <n v="0.1125"/>
  </r>
  <r>
    <n v="6"/>
    <s v="CA-2014-115812"/>
    <x v="3"/>
    <d v="2014-06-14T00:00:00"/>
    <s v="Standard Class"/>
    <s v="BH-11710"/>
    <x v="3"/>
    <x v="0"/>
    <s v="United States"/>
    <s v="Los Angeles"/>
    <x v="1"/>
    <n v="90032"/>
    <x v="1"/>
    <s v="FUR-FU-10001487"/>
    <x v="0"/>
    <s v="Furnishings"/>
    <s v="Eldon Expressions Wood and Plastic Desk Accessories, Cherry Wood"/>
    <n v="48.86"/>
    <n v="7"/>
    <n v="0"/>
    <n v="14.1694"/>
    <n v="0.28999999999999998"/>
  </r>
  <r>
    <n v="7"/>
    <s v="CA-2014-115812"/>
    <x v="3"/>
    <d v="2014-06-14T00:00:00"/>
    <s v="Standard Class"/>
    <s v="BH-11710"/>
    <x v="3"/>
    <x v="0"/>
    <s v="United States"/>
    <s v="Los Angeles"/>
    <x v="1"/>
    <n v="90032"/>
    <x v="1"/>
    <s v="OFF-AR-10002833"/>
    <x v="1"/>
    <s v="Art"/>
    <s v="Newell 322"/>
    <n v="7.28"/>
    <n v="4"/>
    <n v="0"/>
    <n v="1.9656"/>
    <n v="0.27"/>
  </r>
  <r>
    <n v="8"/>
    <s v="CA-2014-115812"/>
    <x v="3"/>
    <d v="2014-06-14T00:00:00"/>
    <s v="Standard Class"/>
    <s v="BH-11710"/>
    <x v="3"/>
    <x v="0"/>
    <s v="United States"/>
    <s v="Los Angeles"/>
    <x v="1"/>
    <n v="90032"/>
    <x v="1"/>
    <s v="TEC-PH-10002275"/>
    <x v="2"/>
    <s v="Phones"/>
    <s v="Mitel 5320 IP Phone VoIP phone"/>
    <n v="907.15200000000004"/>
    <n v="6"/>
    <n v="0.2"/>
    <n v="90.715199999999996"/>
    <n v="9.9999999999999992E-2"/>
  </r>
  <r>
    <n v="9"/>
    <s v="CA-2014-115812"/>
    <x v="3"/>
    <d v="2014-06-14T00:00:00"/>
    <s v="Standard Class"/>
    <s v="BH-11710"/>
    <x v="3"/>
    <x v="0"/>
    <s v="United States"/>
    <s v="Los Angeles"/>
    <x v="1"/>
    <n v="90032"/>
    <x v="1"/>
    <s v="OFF-BI-10003910"/>
    <x v="1"/>
    <s v="Binders"/>
    <s v="DXL Angle-View Binders with Locking Rings by Samsill"/>
    <n v="18.504000000000001"/>
    <n v="3"/>
    <n v="0.2"/>
    <n v="5.7824999999999998"/>
    <n v="0.31249999999999994"/>
  </r>
  <r>
    <n v="10"/>
    <s v="CA-2014-115812"/>
    <x v="3"/>
    <d v="2014-06-14T00:00:00"/>
    <s v="Standard Class"/>
    <s v="BH-11710"/>
    <x v="3"/>
    <x v="0"/>
    <s v="United States"/>
    <s v="Los Angeles"/>
    <x v="1"/>
    <n v="90032"/>
    <x v="1"/>
    <s v="OFF-AP-10002892"/>
    <x v="1"/>
    <s v="Appliances"/>
    <s v="Belkin F5C206VTEL 6 Outlet Surge"/>
    <n v="114.9"/>
    <n v="5"/>
    <n v="0"/>
    <n v="34.47"/>
    <n v="0.3"/>
  </r>
  <r>
    <n v="11"/>
    <s v="CA-2014-115812"/>
    <x v="3"/>
    <d v="2014-06-14T00:00:00"/>
    <s v="Standard Class"/>
    <s v="BH-11710"/>
    <x v="3"/>
    <x v="0"/>
    <s v="United States"/>
    <s v="Los Angeles"/>
    <x v="1"/>
    <n v="90032"/>
    <x v="1"/>
    <s v="FUR-TA-10001539"/>
    <x v="0"/>
    <s v="Tables"/>
    <s v="Chromcraft Rectangular Conference Tables"/>
    <n v="1706.184"/>
    <n v="9"/>
    <n v="0.2"/>
    <n v="85.309200000000004"/>
    <n v="0.05"/>
  </r>
  <r>
    <n v="12"/>
    <s v="CA-2014-115812"/>
    <x v="3"/>
    <d v="2014-06-14T00:00:00"/>
    <s v="Standard Class"/>
    <s v="BH-11710"/>
    <x v="3"/>
    <x v="0"/>
    <s v="United States"/>
    <s v="Los Angeles"/>
    <x v="1"/>
    <n v="90032"/>
    <x v="1"/>
    <s v="TEC-PH-10002033"/>
    <x v="2"/>
    <s v="Phones"/>
    <s v="Konftel 250 Conference phone - Charcoal black"/>
    <n v="911.42399999999998"/>
    <n v="4"/>
    <n v="0.2"/>
    <n v="68.356800000000007"/>
    <n v="7.5000000000000011E-2"/>
  </r>
  <r>
    <n v="13"/>
    <s v="CA-2017-114412"/>
    <x v="4"/>
    <d v="2017-04-20T00:00:00"/>
    <s v="Standard Class"/>
    <s v="AA-10480"/>
    <x v="4"/>
    <x v="0"/>
    <s v="United States"/>
    <s v="Concord"/>
    <x v="3"/>
    <n v="28027"/>
    <x v="0"/>
    <s v="OFF-PA-10002365"/>
    <x v="1"/>
    <s v="Paper"/>
    <s v="Xerox 1967"/>
    <n v="15.552"/>
    <n v="3"/>
    <n v="0.2"/>
    <n v="5.4432"/>
    <n v="0.35000000000000003"/>
  </r>
  <r>
    <n v="14"/>
    <s v="CA-2016-161389"/>
    <x v="5"/>
    <d v="2016-12-10T00:00:00"/>
    <s v="Standard Class"/>
    <s v="IM-15070"/>
    <x v="5"/>
    <x v="0"/>
    <s v="United States"/>
    <s v="Seattle"/>
    <x v="4"/>
    <n v="98103"/>
    <x v="1"/>
    <s v="OFF-BI-10003656"/>
    <x v="1"/>
    <s v="Binders"/>
    <s v="Fellowes PB200 Plastic Comb Binding Machine"/>
    <n v="407.976"/>
    <n v="3"/>
    <n v="0.2"/>
    <n v="132.59219999999999"/>
    <n v="0.32499999999999996"/>
  </r>
  <r>
    <n v="15"/>
    <s v="US-2015-118983"/>
    <x v="6"/>
    <d v="2015-11-26T00:00:00"/>
    <s v="Standard Class"/>
    <s v="HP-14815"/>
    <x v="6"/>
    <x v="2"/>
    <s v="United States"/>
    <s v="Fort Worth"/>
    <x v="5"/>
    <n v="76106"/>
    <x v="2"/>
    <s v="OFF-AP-10002311"/>
    <x v="1"/>
    <s v="Appliances"/>
    <s v="Holmes Replacement Filter for HEPA Air Cleaner, Very Large Room, HEPA Filter"/>
    <n v="68.81"/>
    <n v="5"/>
    <n v="0.8"/>
    <n v="-123.858"/>
    <n v="-1.8"/>
  </r>
  <r>
    <n v="16"/>
    <s v="US-2015-118983"/>
    <x v="6"/>
    <d v="2015-11-26T00:00:00"/>
    <s v="Standard Class"/>
    <s v="HP-14815"/>
    <x v="6"/>
    <x v="2"/>
    <s v="United States"/>
    <s v="Fort Worth"/>
    <x v="5"/>
    <n v="76106"/>
    <x v="2"/>
    <s v="OFF-BI-10000756"/>
    <x v="1"/>
    <s v="Binders"/>
    <s v="Storex DuraTech Recycled Plastic Frosted Binders"/>
    <n v="2.544"/>
    <n v="3"/>
    <n v="0.8"/>
    <n v="-3.8159999999999998"/>
    <n v="-1.5"/>
  </r>
  <r>
    <n v="17"/>
    <s v="CA-2014-105893"/>
    <x v="7"/>
    <d v="2014-11-18T00:00:00"/>
    <s v="Standard Class"/>
    <s v="PK-19075"/>
    <x v="7"/>
    <x v="0"/>
    <s v="United States"/>
    <s v="Madison"/>
    <x v="6"/>
    <n v="53711"/>
    <x v="2"/>
    <s v="OFF-ST-10004186"/>
    <x v="1"/>
    <s v="Storage"/>
    <s v="Stur-D-Stor Shelving, Vertical 5-Shelf: 72&quot;H x 36&quot;W x 18 1/2&quot;D"/>
    <n v="665.88"/>
    <n v="6"/>
    <n v="0"/>
    <n v="13.317600000000001"/>
    <n v="0.02"/>
  </r>
  <r>
    <n v="18"/>
    <s v="CA-2014-167164"/>
    <x v="8"/>
    <d v="2014-05-15T00:00:00"/>
    <s v="Second Class"/>
    <s v="AG-10270"/>
    <x v="8"/>
    <x v="0"/>
    <s v="United States"/>
    <s v="West Jordan"/>
    <x v="7"/>
    <n v="84084"/>
    <x v="1"/>
    <s v="OFF-ST-10000107"/>
    <x v="1"/>
    <s v="Storage"/>
    <s v="Fellowes Super Stor/Drawer"/>
    <n v="55.5"/>
    <n v="2"/>
    <n v="0"/>
    <n v="9.99"/>
    <n v="0.18"/>
  </r>
  <r>
    <n v="19"/>
    <s v="CA-2014-143336"/>
    <x v="9"/>
    <d v="2014-09-01T00:00:00"/>
    <s v="Second Class"/>
    <s v="ZD-21925"/>
    <x v="9"/>
    <x v="0"/>
    <s v="United States"/>
    <s v="San Francisco"/>
    <x v="1"/>
    <n v="94109"/>
    <x v="1"/>
    <s v="OFF-AR-10003056"/>
    <x v="1"/>
    <s v="Art"/>
    <s v="Newell 341"/>
    <n v="8.56"/>
    <n v="2"/>
    <n v="0"/>
    <n v="2.4824000000000002"/>
    <n v="0.28999999999999998"/>
  </r>
  <r>
    <n v="20"/>
    <s v="CA-2014-143336"/>
    <x v="9"/>
    <d v="2014-09-01T00:00:00"/>
    <s v="Second Class"/>
    <s v="ZD-21925"/>
    <x v="9"/>
    <x v="0"/>
    <s v="United States"/>
    <s v="San Francisco"/>
    <x v="1"/>
    <n v="94109"/>
    <x v="1"/>
    <s v="TEC-PH-10001949"/>
    <x v="2"/>
    <s v="Phones"/>
    <s v="Cisco SPA 501G IP Phone"/>
    <n v="213.48"/>
    <n v="3"/>
    <n v="0.2"/>
    <n v="16.010999999999999"/>
    <n v="7.4999999999999997E-2"/>
  </r>
  <r>
    <n v="21"/>
    <s v="CA-2014-143336"/>
    <x v="9"/>
    <d v="2014-09-01T00:00:00"/>
    <s v="Second Class"/>
    <s v="ZD-21925"/>
    <x v="9"/>
    <x v="0"/>
    <s v="United States"/>
    <s v="San Francisco"/>
    <x v="1"/>
    <n v="94109"/>
    <x v="1"/>
    <s v="OFF-BI-10002215"/>
    <x v="1"/>
    <s v="Binders"/>
    <s v="Wilson Jones Hanging View Binder, White, 1&quot;"/>
    <n v="22.72"/>
    <n v="4"/>
    <n v="0.2"/>
    <n v="7.3840000000000003"/>
    <n v="0.32500000000000001"/>
  </r>
  <r>
    <n v="22"/>
    <s v="CA-2016-137330"/>
    <x v="10"/>
    <d v="2016-12-13T00:00:00"/>
    <s v="Standard Class"/>
    <s v="KB-16585"/>
    <x v="10"/>
    <x v="1"/>
    <s v="United States"/>
    <s v="Fremont"/>
    <x v="8"/>
    <n v="68025"/>
    <x v="2"/>
    <s v="OFF-AR-10000246"/>
    <x v="1"/>
    <s v="Art"/>
    <s v="Newell 318"/>
    <n v="19.46"/>
    <n v="7"/>
    <n v="0"/>
    <n v="5.0595999999999997"/>
    <n v="0.25999999999999995"/>
  </r>
  <r>
    <n v="23"/>
    <s v="CA-2016-137330"/>
    <x v="10"/>
    <d v="2016-12-13T00:00:00"/>
    <s v="Standard Class"/>
    <s v="KB-16585"/>
    <x v="10"/>
    <x v="1"/>
    <s v="United States"/>
    <s v="Fremont"/>
    <x v="8"/>
    <n v="68025"/>
    <x v="2"/>
    <s v="OFF-AP-10001492"/>
    <x v="1"/>
    <s v="Appliances"/>
    <s v="Acco Six-Outlet Power Strip, 4' Cord Length"/>
    <n v="60.34"/>
    <n v="7"/>
    <n v="0"/>
    <n v="15.6884"/>
    <n v="0.25999999999999995"/>
  </r>
  <r>
    <n v="24"/>
    <s v="US-2017-156909"/>
    <x v="11"/>
    <d v="2017-07-18T00:00:00"/>
    <s v="Second Class"/>
    <s v="SF-20065"/>
    <x v="11"/>
    <x v="0"/>
    <s v="United States"/>
    <s v="Philadelphia"/>
    <x v="9"/>
    <n v="19140"/>
    <x v="3"/>
    <s v="FUR-CH-10002774"/>
    <x v="0"/>
    <s v="Chairs"/>
    <s v="Global Deluxe Stacking Chair, Gray"/>
    <n v="71.372"/>
    <n v="2"/>
    <n v="0.3"/>
    <n v="-1.0196000000000001"/>
    <n v="-1.4285714285714287E-2"/>
  </r>
  <r>
    <n v="25"/>
    <s v="CA-2015-106320"/>
    <x v="12"/>
    <d v="2015-09-30T00:00:00"/>
    <s v="Standard Class"/>
    <s v="EB-13870"/>
    <x v="12"/>
    <x v="0"/>
    <s v="United States"/>
    <s v="Orem"/>
    <x v="7"/>
    <n v="84057"/>
    <x v="1"/>
    <s v="FUR-TA-10000577"/>
    <x v="0"/>
    <s v="Tables"/>
    <s v="Bretford CR4500 Series Slim Rectangular Table"/>
    <n v="1044.6300000000001"/>
    <n v="3"/>
    <n v="0"/>
    <n v="240.26490000000001"/>
    <n v="0.22999999999999998"/>
  </r>
  <r>
    <n v="26"/>
    <s v="CA-2016-121755"/>
    <x v="13"/>
    <d v="2016-01-20T00:00:00"/>
    <s v="Second Class"/>
    <s v="EH-13945"/>
    <x v="13"/>
    <x v="0"/>
    <s v="United States"/>
    <s v="Los Angeles"/>
    <x v="1"/>
    <n v="90049"/>
    <x v="1"/>
    <s v="OFF-BI-10001634"/>
    <x v="1"/>
    <s v="Binders"/>
    <s v="Wilson Jones Active Use Binders"/>
    <n v="11.648"/>
    <n v="2"/>
    <n v="0.2"/>
    <n v="4.2224000000000004"/>
    <n v="0.36250000000000004"/>
  </r>
  <r>
    <n v="27"/>
    <s v="CA-2016-121755"/>
    <x v="13"/>
    <d v="2016-01-20T00:00:00"/>
    <s v="Second Class"/>
    <s v="EH-13945"/>
    <x v="13"/>
    <x v="0"/>
    <s v="United States"/>
    <s v="Los Angeles"/>
    <x v="1"/>
    <n v="90049"/>
    <x v="1"/>
    <s v="TEC-AC-10003027"/>
    <x v="2"/>
    <s v="Accessories"/>
    <s v="Imation 8GB Mini TravelDrive USB 2.0 Flash Drive"/>
    <n v="90.57"/>
    <n v="3"/>
    <n v="0"/>
    <n v="11.774100000000001"/>
    <n v="0.13"/>
  </r>
  <r>
    <n v="28"/>
    <s v="US-2015-150630"/>
    <x v="14"/>
    <d v="2015-09-21T00:00:00"/>
    <s v="Standard Class"/>
    <s v="TB-21520"/>
    <x v="14"/>
    <x v="0"/>
    <s v="United States"/>
    <s v="Philadelphia"/>
    <x v="9"/>
    <n v="19140"/>
    <x v="3"/>
    <s v="FUR-BO-10004834"/>
    <x v="0"/>
    <s v="Bookcases"/>
    <s v="Riverside Palais Royal Lawyers Bookcase, Royale Cherry Finish"/>
    <n v="3083.43"/>
    <n v="7"/>
    <n v="0.5"/>
    <n v="-1665.0522000000001"/>
    <n v="-0.54"/>
  </r>
  <r>
    <n v="29"/>
    <s v="US-2015-150630"/>
    <x v="14"/>
    <d v="2015-09-21T00:00:00"/>
    <s v="Standard Class"/>
    <s v="TB-21520"/>
    <x v="14"/>
    <x v="0"/>
    <s v="United States"/>
    <s v="Philadelphia"/>
    <x v="9"/>
    <n v="19140"/>
    <x v="3"/>
    <s v="OFF-BI-10000474"/>
    <x v="1"/>
    <s v="Binders"/>
    <s v="Avery Recycled Flexi-View Covers for Binding Systems"/>
    <n v="9.6180000000000003"/>
    <n v="2"/>
    <n v="0.7"/>
    <n v="-7.0532000000000004"/>
    <n v="-0.73333333333333339"/>
  </r>
  <r>
    <n v="30"/>
    <s v="US-2015-150630"/>
    <x v="14"/>
    <d v="2015-09-21T00:00:00"/>
    <s v="Standard Class"/>
    <s v="TB-21520"/>
    <x v="14"/>
    <x v="0"/>
    <s v="United States"/>
    <s v="Philadelphia"/>
    <x v="9"/>
    <n v="19140"/>
    <x v="3"/>
    <s v="FUR-FU-10004848"/>
    <x v="0"/>
    <s v="Furnishings"/>
    <s v="Howard Miller 13-3/4&quot; Diameter Brushed Chrome Round Wall Clock"/>
    <n v="124.2"/>
    <n v="3"/>
    <n v="0.2"/>
    <n v="15.525"/>
    <n v="0.125"/>
  </r>
  <r>
    <n v="31"/>
    <s v="US-2015-150630"/>
    <x v="14"/>
    <d v="2015-09-21T00:00:00"/>
    <s v="Standard Class"/>
    <s v="TB-21520"/>
    <x v="14"/>
    <x v="0"/>
    <s v="United States"/>
    <s v="Philadelphia"/>
    <x v="9"/>
    <n v="19140"/>
    <x v="3"/>
    <s v="OFF-EN-10001509"/>
    <x v="1"/>
    <s v="Envelopes"/>
    <s v="Poly String Tie Envelopes"/>
    <n v="3.2639999999999998"/>
    <n v="2"/>
    <n v="0.2"/>
    <n v="1.1015999999999999"/>
    <n v="0.33750000000000002"/>
  </r>
  <r>
    <n v="32"/>
    <s v="US-2015-150630"/>
    <x v="14"/>
    <d v="2015-09-21T00:00:00"/>
    <s v="Standard Class"/>
    <s v="TB-21520"/>
    <x v="14"/>
    <x v="0"/>
    <s v="United States"/>
    <s v="Philadelphia"/>
    <x v="9"/>
    <n v="19140"/>
    <x v="3"/>
    <s v="OFF-AR-10004042"/>
    <x v="1"/>
    <s v="Art"/>
    <s v="BOSTON Model 1800 Electric Pencil Sharpeners, Putty/Woodgrain"/>
    <n v="86.304000000000002"/>
    <n v="6"/>
    <n v="0.2"/>
    <n v="9.7091999999999992"/>
    <n v="0.11249999999999999"/>
  </r>
  <r>
    <n v="33"/>
    <s v="US-2015-150630"/>
    <x v="14"/>
    <d v="2015-09-21T00:00:00"/>
    <s v="Standard Class"/>
    <s v="TB-21520"/>
    <x v="14"/>
    <x v="0"/>
    <s v="United States"/>
    <s v="Philadelphia"/>
    <x v="9"/>
    <n v="19140"/>
    <x v="3"/>
    <s v="OFF-BI-10001525"/>
    <x v="1"/>
    <s v="Binders"/>
    <s v="Acco Pressboard Covers with Storage Hooks, 14 7/8&quot; x 11&quot;, Executive Red"/>
    <n v="6.8579999999999997"/>
    <n v="6"/>
    <n v="0.7"/>
    <n v="-5.7149999999999999"/>
    <n v="-0.83333333333333337"/>
  </r>
  <r>
    <n v="34"/>
    <s v="US-2015-150630"/>
    <x v="14"/>
    <d v="2015-09-21T00:00:00"/>
    <s v="Standard Class"/>
    <s v="TB-21520"/>
    <x v="14"/>
    <x v="0"/>
    <s v="United States"/>
    <s v="Philadelphia"/>
    <x v="9"/>
    <n v="19140"/>
    <x v="3"/>
    <s v="OFF-AR-10001683"/>
    <x v="1"/>
    <s v="Art"/>
    <s v="Lumber Crayons"/>
    <n v="15.76"/>
    <n v="2"/>
    <n v="0.2"/>
    <n v="3.5459999999999998"/>
    <n v="0.22499999999999998"/>
  </r>
  <r>
    <n v="35"/>
    <s v="CA-2017-107727"/>
    <x v="15"/>
    <d v="2017-10-23T00:00:00"/>
    <s v="Second Class"/>
    <s v="MA-17560"/>
    <x v="15"/>
    <x v="2"/>
    <s v="United States"/>
    <s v="Houston"/>
    <x v="5"/>
    <n v="77095"/>
    <x v="2"/>
    <s v="OFF-PA-10000249"/>
    <x v="1"/>
    <s v="Paper"/>
    <s v="Easy-staple paper"/>
    <n v="29.472000000000001"/>
    <n v="3"/>
    <n v="0.2"/>
    <n v="9.9467999999999996"/>
    <n v="0.33749999999999997"/>
  </r>
  <r>
    <n v="36"/>
    <s v="CA-2016-117590"/>
    <x v="16"/>
    <d v="2016-12-10T00:00:00"/>
    <s v="First Class"/>
    <s v="GH-14485"/>
    <x v="16"/>
    <x v="1"/>
    <s v="United States"/>
    <s v="Richardson"/>
    <x v="5"/>
    <n v="75080"/>
    <x v="2"/>
    <s v="TEC-PH-10004977"/>
    <x v="2"/>
    <s v="Phones"/>
    <s v="GE 30524EE4"/>
    <n v="1097.5440000000001"/>
    <n v="7"/>
    <n v="0.2"/>
    <n v="123.47369999999999"/>
    <n v="0.11249999999999999"/>
  </r>
  <r>
    <n v="37"/>
    <s v="CA-2016-117590"/>
    <x v="16"/>
    <d v="2016-12-10T00:00:00"/>
    <s v="First Class"/>
    <s v="GH-14485"/>
    <x v="16"/>
    <x v="1"/>
    <s v="United States"/>
    <s v="Richardson"/>
    <x v="5"/>
    <n v="75080"/>
    <x v="2"/>
    <s v="FUR-FU-10003664"/>
    <x v="0"/>
    <s v="Furnishings"/>
    <s v="Electrix Architect's Clamp-On Swing Arm Lamp, Black"/>
    <n v="190.92"/>
    <n v="5"/>
    <n v="0.6"/>
    <n v="-147.96299999999999"/>
    <n v="-0.77500000000000002"/>
  </r>
  <r>
    <n v="38"/>
    <s v="CA-2015-117415"/>
    <x v="17"/>
    <d v="2015-12-31T00:00:00"/>
    <s v="Standard Class"/>
    <s v="SN-20710"/>
    <x v="17"/>
    <x v="2"/>
    <s v="United States"/>
    <s v="Houston"/>
    <x v="5"/>
    <n v="77041"/>
    <x v="2"/>
    <s v="OFF-EN-10002986"/>
    <x v="1"/>
    <s v="Envelopes"/>
    <s v="#10-4 1/8&quot; x 9 1/2&quot; Premium Diagonal Seam Envelopes"/>
    <n v="113.328"/>
    <n v="9"/>
    <n v="0.2"/>
    <n v="35.414999999999999"/>
    <n v="0.3125"/>
  </r>
  <r>
    <n v="39"/>
    <s v="CA-2015-117415"/>
    <x v="17"/>
    <d v="2015-12-31T00:00:00"/>
    <s v="Standard Class"/>
    <s v="SN-20710"/>
    <x v="17"/>
    <x v="2"/>
    <s v="United States"/>
    <s v="Houston"/>
    <x v="5"/>
    <n v="77041"/>
    <x v="2"/>
    <s v="FUR-BO-10002545"/>
    <x v="0"/>
    <s v="Bookcases"/>
    <s v="Atlantic Metals Mobile 3-Shelf Bookcases, Custom Colors"/>
    <n v="532.39919999999995"/>
    <n v="3"/>
    <n v="0.32"/>
    <n v="-46.976399999999998"/>
    <n v="-8.8235294117647065E-2"/>
  </r>
  <r>
    <n v="40"/>
    <s v="CA-2015-117415"/>
    <x v="17"/>
    <d v="2015-12-31T00:00:00"/>
    <s v="Standard Class"/>
    <s v="SN-20710"/>
    <x v="17"/>
    <x v="2"/>
    <s v="United States"/>
    <s v="Houston"/>
    <x v="5"/>
    <n v="77041"/>
    <x v="2"/>
    <s v="FUR-CH-10004218"/>
    <x v="0"/>
    <s v="Chairs"/>
    <s v="Global Fabric Manager's Chair, Dark Gray"/>
    <n v="212.05799999999999"/>
    <n v="3"/>
    <n v="0.3"/>
    <n v="-15.147"/>
    <n v="-7.1428571428571438E-2"/>
  </r>
  <r>
    <n v="41"/>
    <s v="CA-2015-117415"/>
    <x v="17"/>
    <d v="2015-12-31T00:00:00"/>
    <s v="Standard Class"/>
    <s v="SN-20710"/>
    <x v="17"/>
    <x v="2"/>
    <s v="United States"/>
    <s v="Houston"/>
    <x v="5"/>
    <n v="77041"/>
    <x v="2"/>
    <s v="TEC-PH-10000486"/>
    <x v="2"/>
    <s v="Phones"/>
    <s v="Plantronics HL10 Handset Lifter"/>
    <n v="371.16800000000001"/>
    <n v="4"/>
    <n v="0.2"/>
    <n v="41.756399999999999"/>
    <n v="0.1125"/>
  </r>
  <r>
    <n v="42"/>
    <s v="CA-2017-120999"/>
    <x v="18"/>
    <d v="2017-09-15T00:00:00"/>
    <s v="Standard Class"/>
    <s v="LC-16930"/>
    <x v="18"/>
    <x v="1"/>
    <s v="United States"/>
    <s v="Naperville"/>
    <x v="10"/>
    <n v="60540"/>
    <x v="2"/>
    <s v="TEC-PH-10004093"/>
    <x v="2"/>
    <s v="Phones"/>
    <s v="Panasonic Kx-TS550"/>
    <n v="147.16800000000001"/>
    <n v="4"/>
    <n v="0.2"/>
    <n v="16.5564"/>
    <n v="0.11249999999999999"/>
  </r>
  <r>
    <n v="43"/>
    <s v="CA-2016-101343"/>
    <x v="19"/>
    <d v="2016-07-22T00:00:00"/>
    <s v="Standard Class"/>
    <s v="RA-19885"/>
    <x v="19"/>
    <x v="1"/>
    <s v="United States"/>
    <s v="Los Angeles"/>
    <x v="1"/>
    <n v="90049"/>
    <x v="1"/>
    <s v="OFF-ST-10003479"/>
    <x v="1"/>
    <s v="Storage"/>
    <s v="Eldon Base for stackable storage shelf, platinum"/>
    <n v="77.88"/>
    <n v="2"/>
    <n v="0"/>
    <n v="3.8940000000000001"/>
    <n v="0.05"/>
  </r>
  <r>
    <n v="44"/>
    <s v="CA-2017-139619"/>
    <x v="20"/>
    <d v="2017-09-23T00:00:00"/>
    <s v="Standard Class"/>
    <s v="ES-14080"/>
    <x v="20"/>
    <x v="1"/>
    <s v="United States"/>
    <s v="Melbourne"/>
    <x v="2"/>
    <n v="32935"/>
    <x v="0"/>
    <s v="OFF-ST-10003282"/>
    <x v="1"/>
    <s v="Storage"/>
    <s v="Advantus 10-Drawer Portable Organizer, Chrome Metal Frame, Smoke Drawers"/>
    <n v="95.616"/>
    <n v="2"/>
    <n v="0.2"/>
    <n v="9.5616000000000003"/>
    <n v="0.1"/>
  </r>
  <r>
    <n v="45"/>
    <s v="CA-2016-118255"/>
    <x v="21"/>
    <d v="2016-03-13T00:00:00"/>
    <s v="First Class"/>
    <s v="ON-18715"/>
    <x v="21"/>
    <x v="1"/>
    <s v="United States"/>
    <s v="Eagan"/>
    <x v="11"/>
    <n v="55122"/>
    <x v="2"/>
    <s v="TEC-AC-10000171"/>
    <x v="2"/>
    <s v="Accessories"/>
    <s v="Verbatim 25 GB 6x Blu-ray Single Layer Recordable Disc, 25/Pack"/>
    <n v="45.98"/>
    <n v="2"/>
    <n v="0"/>
    <n v="19.7714"/>
    <n v="0.43000000000000005"/>
  </r>
  <r>
    <n v="46"/>
    <s v="CA-2016-118255"/>
    <x v="21"/>
    <d v="2016-03-13T00:00:00"/>
    <s v="First Class"/>
    <s v="ON-18715"/>
    <x v="21"/>
    <x v="1"/>
    <s v="United States"/>
    <s v="Eagan"/>
    <x v="11"/>
    <n v="55122"/>
    <x v="2"/>
    <s v="OFF-BI-10003291"/>
    <x v="1"/>
    <s v="Binders"/>
    <s v="Wilson Jones Leather-Like Binders with DublLock Round Rings"/>
    <n v="17.46"/>
    <n v="2"/>
    <n v="0"/>
    <n v="8.2062000000000008"/>
    <n v="0.47000000000000003"/>
  </r>
  <r>
    <n v="47"/>
    <s v="CA-2014-146703"/>
    <x v="22"/>
    <d v="2014-10-25T00:00:00"/>
    <s v="Second Class"/>
    <s v="PO-18865"/>
    <x v="22"/>
    <x v="0"/>
    <s v="United States"/>
    <s v="Westland"/>
    <x v="12"/>
    <n v="48185"/>
    <x v="2"/>
    <s v="OFF-ST-10001713"/>
    <x v="1"/>
    <s v="Storage"/>
    <s v="Gould Plastics 9-Pocket Panel Bin, 18-3/8w x 5-1/4d x 20-1/2h, Black"/>
    <n v="211.96"/>
    <n v="4"/>
    <n v="0"/>
    <n v="8.4784000000000006"/>
    <n v="0.04"/>
  </r>
  <r>
    <n v="48"/>
    <s v="CA-2016-169194"/>
    <x v="23"/>
    <d v="2016-06-25T00:00:00"/>
    <s v="Standard Class"/>
    <s v="LH-16900"/>
    <x v="23"/>
    <x v="0"/>
    <s v="United States"/>
    <s v="Dover"/>
    <x v="13"/>
    <n v="19901"/>
    <x v="3"/>
    <s v="TEC-AC-10002167"/>
    <x v="2"/>
    <s v="Accessories"/>
    <s v="Imation 8gb Micro Traveldrive Usb 2.0 Flash Drive"/>
    <n v="45"/>
    <n v="3"/>
    <n v="0"/>
    <n v="4.95"/>
    <n v="0.11"/>
  </r>
  <r>
    <n v="49"/>
    <s v="CA-2016-169194"/>
    <x v="23"/>
    <d v="2016-06-25T00:00:00"/>
    <s v="Standard Class"/>
    <s v="LH-16900"/>
    <x v="23"/>
    <x v="0"/>
    <s v="United States"/>
    <s v="Dover"/>
    <x v="13"/>
    <n v="19901"/>
    <x v="3"/>
    <s v="TEC-PH-10003988"/>
    <x v="2"/>
    <s v="Phones"/>
    <s v="LF Elite 3D Dazzle Designer Hard Case Cover, Lf Stylus Pen and Wiper For Apple Iphone 5c Mini Lite"/>
    <n v="21.8"/>
    <n v="2"/>
    <n v="0"/>
    <n v="6.1040000000000001"/>
    <n v="0.27999999999999997"/>
  </r>
  <r>
    <n v="50"/>
    <s v="CA-2015-115742"/>
    <x v="24"/>
    <d v="2015-04-22T00:00:00"/>
    <s v="Standard Class"/>
    <s v="DP-13000"/>
    <x v="24"/>
    <x v="0"/>
    <s v="United States"/>
    <s v="New Albany"/>
    <x v="14"/>
    <n v="47150"/>
    <x v="2"/>
    <s v="OFF-BI-10004410"/>
    <x v="1"/>
    <s v="Binders"/>
    <s v="C-Line Peel &amp; Stick Add-On Filing Pockets, 8-3/4 x 5-1/8, 10/Pack"/>
    <n v="38.22"/>
    <n v="6"/>
    <n v="0"/>
    <n v="17.9634"/>
    <n v="0.47000000000000003"/>
  </r>
  <r>
    <n v="51"/>
    <s v="CA-2015-115742"/>
    <x v="24"/>
    <d v="2015-04-22T00:00:00"/>
    <s v="Standard Class"/>
    <s v="DP-13000"/>
    <x v="24"/>
    <x v="0"/>
    <s v="United States"/>
    <s v="New Albany"/>
    <x v="14"/>
    <n v="47150"/>
    <x v="2"/>
    <s v="OFF-LA-10002762"/>
    <x v="1"/>
    <s v="Labels"/>
    <s v="Avery 485"/>
    <n v="75.180000000000007"/>
    <n v="6"/>
    <n v="0"/>
    <n v="35.334600000000002"/>
    <n v="0.47"/>
  </r>
  <r>
    <n v="52"/>
    <s v="CA-2015-115742"/>
    <x v="24"/>
    <d v="2015-04-22T00:00:00"/>
    <s v="Standard Class"/>
    <s v="DP-13000"/>
    <x v="24"/>
    <x v="0"/>
    <s v="United States"/>
    <s v="New Albany"/>
    <x v="14"/>
    <n v="47150"/>
    <x v="2"/>
    <s v="FUR-FU-10001706"/>
    <x v="0"/>
    <s v="Furnishings"/>
    <s v="Longer-Life Soft White Bulbs"/>
    <n v="6.16"/>
    <n v="2"/>
    <n v="0"/>
    <n v="2.9567999999999999"/>
    <n v="0.48"/>
  </r>
  <r>
    <n v="53"/>
    <s v="CA-2015-115742"/>
    <x v="24"/>
    <d v="2015-04-22T00:00:00"/>
    <s v="Standard Class"/>
    <s v="DP-13000"/>
    <x v="24"/>
    <x v="0"/>
    <s v="United States"/>
    <s v="New Albany"/>
    <x v="14"/>
    <n v="47150"/>
    <x v="2"/>
    <s v="FUR-CH-10003061"/>
    <x v="0"/>
    <s v="Chairs"/>
    <s v="Global Leather Task Chair, Black"/>
    <n v="89.99"/>
    <n v="1"/>
    <n v="0"/>
    <n v="17.098099999999999"/>
    <n v="0.19"/>
  </r>
  <r>
    <n v="54"/>
    <s v="CA-2016-105816"/>
    <x v="25"/>
    <d v="2016-12-17T00:00:00"/>
    <s v="Standard Class"/>
    <s v="JM-15265"/>
    <x v="25"/>
    <x v="1"/>
    <s v="United States"/>
    <s v="New York City"/>
    <x v="15"/>
    <n v="10024"/>
    <x v="3"/>
    <s v="OFF-FA-10000304"/>
    <x v="1"/>
    <s v="Fasteners"/>
    <s v="Advantus Push Pins"/>
    <n v="15.26"/>
    <n v="7"/>
    <n v="0"/>
    <n v="6.2565999999999997"/>
    <n v="0.41"/>
  </r>
  <r>
    <n v="55"/>
    <s v="CA-2016-105816"/>
    <x v="25"/>
    <d v="2016-12-17T00:00:00"/>
    <s v="Standard Class"/>
    <s v="JM-15265"/>
    <x v="25"/>
    <x v="1"/>
    <s v="United States"/>
    <s v="New York City"/>
    <x v="15"/>
    <n v="10024"/>
    <x v="3"/>
    <s v="TEC-PH-10002447"/>
    <x v="2"/>
    <s v="Phones"/>
    <s v="AT&amp;T CL83451 4-Handset Telephone"/>
    <n v="1029.95"/>
    <n v="5"/>
    <n v="0"/>
    <n v="298.68549999999999"/>
    <n v="0.28999999999999998"/>
  </r>
  <r>
    <n v="56"/>
    <s v="CA-2016-111682"/>
    <x v="26"/>
    <d v="2016-06-18T00:00:00"/>
    <s v="First Class"/>
    <s v="TB-21055"/>
    <x v="26"/>
    <x v="0"/>
    <s v="United States"/>
    <s v="Troy"/>
    <x v="15"/>
    <n v="12180"/>
    <x v="3"/>
    <s v="OFF-ST-10000604"/>
    <x v="1"/>
    <s v="Storage"/>
    <s v="Home/Office Personal File Carts"/>
    <n v="208.56"/>
    <n v="6"/>
    <n v="0"/>
    <n v="52.14"/>
    <n v="0.25"/>
  </r>
  <r>
    <n v="57"/>
    <s v="CA-2016-111682"/>
    <x v="26"/>
    <d v="2016-06-18T00:00:00"/>
    <s v="First Class"/>
    <s v="TB-21055"/>
    <x v="26"/>
    <x v="0"/>
    <s v="United States"/>
    <s v="Troy"/>
    <x v="15"/>
    <n v="12180"/>
    <x v="3"/>
    <s v="OFF-PA-10001569"/>
    <x v="1"/>
    <s v="Paper"/>
    <s v="Xerox 232"/>
    <n v="32.4"/>
    <n v="5"/>
    <n v="0"/>
    <n v="15.552"/>
    <n v="0.48"/>
  </r>
  <r>
    <n v="58"/>
    <s v="CA-2016-111682"/>
    <x v="26"/>
    <d v="2016-06-18T00:00:00"/>
    <s v="First Class"/>
    <s v="TB-21055"/>
    <x v="26"/>
    <x v="0"/>
    <s v="United States"/>
    <s v="Troy"/>
    <x v="15"/>
    <n v="12180"/>
    <x v="3"/>
    <s v="FUR-CH-10003968"/>
    <x v="0"/>
    <s v="Chairs"/>
    <s v="Novimex Turbo Task Chair"/>
    <n v="319.41000000000003"/>
    <n v="5"/>
    <n v="0.1"/>
    <n v="7.0979999999999999"/>
    <n v="2.222222222222222E-2"/>
  </r>
  <r>
    <n v="59"/>
    <s v="CA-2016-111682"/>
    <x v="26"/>
    <d v="2016-06-18T00:00:00"/>
    <s v="First Class"/>
    <s v="TB-21055"/>
    <x v="26"/>
    <x v="0"/>
    <s v="United States"/>
    <s v="Troy"/>
    <x v="15"/>
    <n v="12180"/>
    <x v="3"/>
    <s v="OFF-PA-10000587"/>
    <x v="1"/>
    <s v="Paper"/>
    <s v="Array Parchment Paper, Assorted Colors"/>
    <n v="14.56"/>
    <n v="2"/>
    <n v="0"/>
    <n v="6.9888000000000003"/>
    <n v="0.48"/>
  </r>
  <r>
    <n v="60"/>
    <s v="CA-2016-111682"/>
    <x v="26"/>
    <d v="2016-06-18T00:00:00"/>
    <s v="First Class"/>
    <s v="TB-21055"/>
    <x v="26"/>
    <x v="0"/>
    <s v="United States"/>
    <s v="Troy"/>
    <x v="15"/>
    <n v="12180"/>
    <x v="3"/>
    <s v="TEC-AC-10002167"/>
    <x v="2"/>
    <s v="Accessories"/>
    <s v="Imation 8gb Micro Traveldrive Usb 2.0 Flash Drive"/>
    <n v="30"/>
    <n v="2"/>
    <n v="0"/>
    <n v="3.3"/>
    <n v="0.11"/>
  </r>
  <r>
    <n v="61"/>
    <s v="CA-2016-111682"/>
    <x v="26"/>
    <d v="2016-06-18T00:00:00"/>
    <s v="First Class"/>
    <s v="TB-21055"/>
    <x v="26"/>
    <x v="0"/>
    <s v="United States"/>
    <s v="Troy"/>
    <x v="15"/>
    <n v="12180"/>
    <x v="3"/>
    <s v="OFF-BI-10001460"/>
    <x v="1"/>
    <s v="Binders"/>
    <s v="Plastic Binding Combs"/>
    <n v="48.48"/>
    <n v="4"/>
    <n v="0.2"/>
    <n v="16.361999999999998"/>
    <n v="0.33749999999999997"/>
  </r>
  <r>
    <n v="62"/>
    <s v="CA-2016-111682"/>
    <x v="26"/>
    <d v="2016-06-18T00:00:00"/>
    <s v="First Class"/>
    <s v="TB-21055"/>
    <x v="26"/>
    <x v="0"/>
    <s v="United States"/>
    <s v="Troy"/>
    <x v="15"/>
    <n v="12180"/>
    <x v="3"/>
    <s v="OFF-AR-10001868"/>
    <x v="1"/>
    <s v="Art"/>
    <s v="Prang Dustless Chalk Sticks"/>
    <n v="1.68"/>
    <n v="1"/>
    <n v="0"/>
    <n v="0.84"/>
    <n v="0.5"/>
  </r>
  <r>
    <n v="63"/>
    <s v="CA-2015-135545"/>
    <x v="27"/>
    <d v="2015-11-30T00:00:00"/>
    <s v="Standard Class"/>
    <s v="KM-16720"/>
    <x v="27"/>
    <x v="0"/>
    <s v="United States"/>
    <s v="Los Angeles"/>
    <x v="1"/>
    <n v="90004"/>
    <x v="1"/>
    <s v="TEC-AC-10004633"/>
    <x v="2"/>
    <s v="Accessories"/>
    <s v="Verbatim 25 GB 6x Blu-ray Single Layer Recordable Disc, 3/Pack"/>
    <n v="13.98"/>
    <n v="2"/>
    <n v="0"/>
    <n v="6.1512000000000002"/>
    <n v="0.44"/>
  </r>
  <r>
    <n v="64"/>
    <s v="CA-2015-135545"/>
    <x v="27"/>
    <d v="2015-11-30T00:00:00"/>
    <s v="Standard Class"/>
    <s v="KM-16720"/>
    <x v="27"/>
    <x v="0"/>
    <s v="United States"/>
    <s v="Los Angeles"/>
    <x v="1"/>
    <n v="90004"/>
    <x v="1"/>
    <s v="OFF-BI-10001078"/>
    <x v="1"/>
    <s v="Binders"/>
    <s v="Acco PRESSTEX Data Binder with Storage Hooks, Dark Blue, 14 7/8&quot; X 11&quot;"/>
    <n v="25.824000000000002"/>
    <n v="6"/>
    <n v="0.2"/>
    <n v="9.3612000000000002"/>
    <n v="0.36249999999999999"/>
  </r>
  <r>
    <n v="65"/>
    <s v="CA-2015-135545"/>
    <x v="27"/>
    <d v="2015-11-30T00:00:00"/>
    <s v="Standard Class"/>
    <s v="KM-16720"/>
    <x v="27"/>
    <x v="0"/>
    <s v="United States"/>
    <s v="Los Angeles"/>
    <x v="1"/>
    <n v="90004"/>
    <x v="1"/>
    <s v="OFF-PA-10003892"/>
    <x v="1"/>
    <s v="Paper"/>
    <s v="Xerox 1943"/>
    <n v="146.72999999999999"/>
    <n v="3"/>
    <n v="0"/>
    <n v="68.963099999999997"/>
    <n v="0.47000000000000003"/>
  </r>
  <r>
    <n v="66"/>
    <s v="CA-2015-135545"/>
    <x v="27"/>
    <d v="2015-11-30T00:00:00"/>
    <s v="Standard Class"/>
    <s v="KM-16720"/>
    <x v="27"/>
    <x v="0"/>
    <s v="United States"/>
    <s v="Los Angeles"/>
    <x v="1"/>
    <n v="90004"/>
    <x v="1"/>
    <s v="FUR-FU-10000397"/>
    <x v="0"/>
    <s v="Furnishings"/>
    <s v="Luxo Economy Swing Arm Lamp"/>
    <n v="79.760000000000005"/>
    <n v="4"/>
    <n v="0"/>
    <n v="22.332799999999999"/>
    <n v="0.27999999999999997"/>
  </r>
  <r>
    <n v="67"/>
    <s v="US-2015-164175"/>
    <x v="28"/>
    <d v="2015-05-05T00:00:00"/>
    <s v="Standard Class"/>
    <s v="PS-18970"/>
    <x v="28"/>
    <x v="2"/>
    <s v="United States"/>
    <s v="Chicago"/>
    <x v="10"/>
    <n v="60610"/>
    <x v="2"/>
    <s v="FUR-CH-10001146"/>
    <x v="0"/>
    <s v="Chairs"/>
    <s v="Global Value Mid-Back Manager's Chair, Gray"/>
    <n v="213.11500000000001"/>
    <n v="5"/>
    <n v="0.3"/>
    <n v="-15.2225"/>
    <n v="-7.1428571428571425E-2"/>
  </r>
  <r>
    <n v="68"/>
    <s v="CA-2014-106376"/>
    <x v="29"/>
    <d v="2014-12-10T00:00:00"/>
    <s v="Standard Class"/>
    <s v="BS-11590"/>
    <x v="29"/>
    <x v="1"/>
    <s v="United States"/>
    <s v="Gilbert"/>
    <x v="16"/>
    <n v="85234"/>
    <x v="1"/>
    <s v="OFF-AR-10002671"/>
    <x v="1"/>
    <s v="Art"/>
    <s v="Hunt BOSTON Model 1606 High-Volume Electric Pencil Sharpener, Beige"/>
    <n v="1113.0239999999999"/>
    <n v="8"/>
    <n v="0.2"/>
    <n v="111.30240000000001"/>
    <n v="0.10000000000000002"/>
  </r>
  <r>
    <n v="69"/>
    <s v="CA-2014-106376"/>
    <x v="29"/>
    <d v="2014-12-10T00:00:00"/>
    <s v="Standard Class"/>
    <s v="BS-11590"/>
    <x v="29"/>
    <x v="1"/>
    <s v="United States"/>
    <s v="Gilbert"/>
    <x v="16"/>
    <n v="85234"/>
    <x v="1"/>
    <s v="TEC-PH-10002726"/>
    <x v="2"/>
    <s v="Phones"/>
    <s v="netTALK DUO VoIP Telephone Service"/>
    <n v="167.96799999999999"/>
    <n v="4"/>
    <n v="0.2"/>
    <n v="62.988"/>
    <n v="0.375"/>
  </r>
  <r>
    <n v="70"/>
    <s v="CA-2016-119823"/>
    <x v="30"/>
    <d v="2016-06-06T00:00:00"/>
    <s v="First Class"/>
    <s v="KD-16270"/>
    <x v="30"/>
    <x v="0"/>
    <s v="United States"/>
    <s v="Springfield"/>
    <x v="17"/>
    <n v="22153"/>
    <x v="0"/>
    <s v="OFF-PA-10000482"/>
    <x v="1"/>
    <s v="Paper"/>
    <s v="Snap-A-Way Black Print Carbonless Ruled Speed Letter, Triplicate"/>
    <n v="75.88"/>
    <n v="2"/>
    <n v="0"/>
    <n v="35.663600000000002"/>
    <n v="0.47000000000000008"/>
  </r>
  <r>
    <n v="71"/>
    <s v="CA-2016-106075"/>
    <x v="31"/>
    <d v="2016-09-23T00:00:00"/>
    <s v="Standard Class"/>
    <s v="HM-14980"/>
    <x v="31"/>
    <x v="0"/>
    <s v="United States"/>
    <s v="New York City"/>
    <x v="15"/>
    <n v="10009"/>
    <x v="3"/>
    <s v="OFF-BI-10004654"/>
    <x v="1"/>
    <s v="Binders"/>
    <s v="Avery Binding System Hidden Tab Executive Style Index Sets"/>
    <n v="4.6159999999999997"/>
    <n v="1"/>
    <n v="0.2"/>
    <n v="1.7310000000000001"/>
    <n v="0.37500000000000006"/>
  </r>
  <r>
    <n v="72"/>
    <s v="CA-2017-114440"/>
    <x v="32"/>
    <d v="2017-09-17T00:00:00"/>
    <s v="Second Class"/>
    <s v="TB-21520"/>
    <x v="14"/>
    <x v="0"/>
    <s v="United States"/>
    <s v="Jackson"/>
    <x v="12"/>
    <n v="49201"/>
    <x v="2"/>
    <s v="OFF-PA-10004675"/>
    <x v="1"/>
    <s v="Paper"/>
    <s v="Telephone Message Books with Fax/Mobile Section, 5 1/2&quot; x 3 3/16&quot;"/>
    <n v="19.05"/>
    <n v="3"/>
    <n v="0"/>
    <n v="8.7629999999999999"/>
    <n v="0.45999999999999996"/>
  </r>
  <r>
    <n v="73"/>
    <s v="US-2015-134026"/>
    <x v="33"/>
    <d v="2015-05-02T00:00:00"/>
    <s v="Standard Class"/>
    <s v="JE-15745"/>
    <x v="32"/>
    <x v="0"/>
    <s v="United States"/>
    <s v="Memphis"/>
    <x v="18"/>
    <n v="38109"/>
    <x v="0"/>
    <s v="FUR-CH-10000513"/>
    <x v="0"/>
    <s v="Chairs"/>
    <s v="High-Back Leather Manager's Chair"/>
    <n v="831.93600000000004"/>
    <n v="8"/>
    <n v="0.2"/>
    <n v="-114.3912"/>
    <n v="-0.13749999999999998"/>
  </r>
  <r>
    <n v="74"/>
    <s v="US-2015-134026"/>
    <x v="33"/>
    <d v="2015-05-02T00:00:00"/>
    <s v="Standard Class"/>
    <s v="JE-15745"/>
    <x v="32"/>
    <x v="0"/>
    <s v="United States"/>
    <s v="Memphis"/>
    <x v="18"/>
    <n v="38109"/>
    <x v="0"/>
    <s v="FUR-FU-10003708"/>
    <x v="0"/>
    <s v="Furnishings"/>
    <s v="Tenex Traditional Chairmats for Medium Pile Carpet, Standard Lip, 36&quot; x 48&quot;"/>
    <n v="97.04"/>
    <n v="2"/>
    <n v="0.2"/>
    <n v="1.2130000000000001"/>
    <n v="1.2500000000000001E-2"/>
  </r>
  <r>
    <n v="75"/>
    <s v="US-2015-134026"/>
    <x v="33"/>
    <d v="2015-05-02T00:00:00"/>
    <s v="Standard Class"/>
    <s v="JE-15745"/>
    <x v="32"/>
    <x v="0"/>
    <s v="United States"/>
    <s v="Memphis"/>
    <x v="18"/>
    <n v="38109"/>
    <x v="0"/>
    <s v="OFF-ST-10004123"/>
    <x v="1"/>
    <s v="Storage"/>
    <s v="Safco Industrial Wire Shelving System"/>
    <n v="72.784000000000006"/>
    <n v="1"/>
    <n v="0.2"/>
    <n v="-18.196000000000002"/>
    <n v="-0.25"/>
  </r>
  <r>
    <n v="76"/>
    <s v="US-2017-118038"/>
    <x v="34"/>
    <d v="2017-12-11T00:00:00"/>
    <s v="First Class"/>
    <s v="KB-16600"/>
    <x v="33"/>
    <x v="1"/>
    <s v="United States"/>
    <s v="Houston"/>
    <x v="5"/>
    <n v="77041"/>
    <x v="2"/>
    <s v="OFF-BI-10004182"/>
    <x v="1"/>
    <s v="Binders"/>
    <s v="Economy Binders"/>
    <n v="1.248"/>
    <n v="3"/>
    <n v="0.8"/>
    <n v="-1.9343999999999999"/>
    <n v="-1.5499999999999998"/>
  </r>
  <r>
    <n v="77"/>
    <s v="US-2017-118038"/>
    <x v="34"/>
    <d v="2017-12-11T00:00:00"/>
    <s v="First Class"/>
    <s v="KB-16600"/>
    <x v="33"/>
    <x v="1"/>
    <s v="United States"/>
    <s v="Houston"/>
    <x v="5"/>
    <n v="77041"/>
    <x v="2"/>
    <s v="FUR-FU-10000260"/>
    <x v="0"/>
    <s v="Furnishings"/>
    <s v="6&quot; Cubicle Wall Clock, Black"/>
    <n v="9.7080000000000002"/>
    <n v="3"/>
    <n v="0.6"/>
    <n v="-5.8247999999999998"/>
    <n v="-0.6"/>
  </r>
  <r>
    <n v="78"/>
    <s v="US-2017-118038"/>
    <x v="34"/>
    <d v="2017-12-11T00:00:00"/>
    <s v="First Class"/>
    <s v="KB-16600"/>
    <x v="33"/>
    <x v="1"/>
    <s v="United States"/>
    <s v="Houston"/>
    <x v="5"/>
    <n v="77041"/>
    <x v="2"/>
    <s v="OFF-ST-10000615"/>
    <x v="1"/>
    <s v="Storage"/>
    <s v="SimpliFile Personal File, Black Granite, 15w x 6-15/16d x 11-1/4h"/>
    <n v="27.24"/>
    <n v="3"/>
    <n v="0.2"/>
    <n v="2.7240000000000002"/>
    <n v="0.10000000000000002"/>
  </r>
  <r>
    <n v="79"/>
    <s v="US-2014-147606"/>
    <x v="35"/>
    <d v="2014-12-01T00:00:00"/>
    <s v="Second Class"/>
    <s v="JE-15745"/>
    <x v="32"/>
    <x v="0"/>
    <s v="United States"/>
    <s v="Houston"/>
    <x v="5"/>
    <n v="77070"/>
    <x v="2"/>
    <s v="FUR-FU-10003194"/>
    <x v="0"/>
    <s v="Furnishings"/>
    <s v="Eldon Expressions Desk Accessory, Wood Pencil Holder, Oak"/>
    <n v="19.3"/>
    <n v="5"/>
    <n v="0.6"/>
    <n v="-14.475"/>
    <n v="-0.75"/>
  </r>
  <r>
    <n v="80"/>
    <s v="CA-2016-127208"/>
    <x v="1"/>
    <d v="2016-06-15T00:00:00"/>
    <s v="First Class"/>
    <s v="SC-20770"/>
    <x v="34"/>
    <x v="1"/>
    <s v="United States"/>
    <s v="Decatur"/>
    <x v="19"/>
    <n v="35601"/>
    <x v="0"/>
    <s v="OFF-AP-10002118"/>
    <x v="1"/>
    <s v="Appliances"/>
    <s v="1.7 Cubic Foot Compact &quot;Cube&quot; Office Refrigerators"/>
    <n v="208.16"/>
    <n v="1"/>
    <n v="0"/>
    <n v="56.203200000000002"/>
    <n v="0.27"/>
  </r>
  <r>
    <n v="81"/>
    <s v="CA-2016-127208"/>
    <x v="1"/>
    <d v="2016-06-15T00:00:00"/>
    <s v="First Class"/>
    <s v="SC-20770"/>
    <x v="34"/>
    <x v="1"/>
    <s v="United States"/>
    <s v="Decatur"/>
    <x v="19"/>
    <n v="35601"/>
    <x v="0"/>
    <s v="OFF-BI-10002309"/>
    <x v="1"/>
    <s v="Binders"/>
    <s v="Avery Heavy-Duty EZD  Binder With Locking Rings"/>
    <n v="16.739999999999998"/>
    <n v="3"/>
    <n v="0"/>
    <n v="8.0351999999999997"/>
    <n v="0.48000000000000004"/>
  </r>
  <r>
    <n v="82"/>
    <s v="CA-2014-139451"/>
    <x v="36"/>
    <d v="2014-10-16T00:00:00"/>
    <s v="Standard Class"/>
    <s v="DN-13690"/>
    <x v="35"/>
    <x v="0"/>
    <s v="United States"/>
    <s v="San Francisco"/>
    <x v="1"/>
    <n v="94122"/>
    <x v="1"/>
    <s v="OFF-AR-10002053"/>
    <x v="1"/>
    <s v="Art"/>
    <s v="Premium Writing Pencils, Soft, #2 by Central Association for the Blind"/>
    <n v="14.9"/>
    <n v="5"/>
    <n v="0"/>
    <n v="4.1719999999999997"/>
    <n v="0.27999999999999997"/>
  </r>
  <r>
    <n v="83"/>
    <s v="CA-2014-139451"/>
    <x v="36"/>
    <d v="2014-10-16T00:00:00"/>
    <s v="Standard Class"/>
    <s v="DN-13690"/>
    <x v="35"/>
    <x v="0"/>
    <s v="United States"/>
    <s v="San Francisco"/>
    <x v="1"/>
    <n v="94122"/>
    <x v="1"/>
    <s v="OFF-ST-10002370"/>
    <x v="1"/>
    <s v="Storage"/>
    <s v="Sortfiler Multipurpose Personal File Organizer, Black"/>
    <n v="21.39"/>
    <n v="1"/>
    <n v="0"/>
    <n v="6.2031000000000001"/>
    <n v="0.28999999999999998"/>
  </r>
  <r>
    <n v="84"/>
    <s v="CA-2015-149734"/>
    <x v="37"/>
    <d v="2015-09-08T00:00:00"/>
    <s v="Standard Class"/>
    <s v="JC-16105"/>
    <x v="36"/>
    <x v="1"/>
    <s v="United States"/>
    <s v="Durham"/>
    <x v="3"/>
    <n v="27707"/>
    <x v="0"/>
    <s v="OFF-EN-10000927"/>
    <x v="1"/>
    <s v="Envelopes"/>
    <s v="Jet-Pak Recycled Peel 'N' Seal Padded Mailers"/>
    <n v="200.98400000000001"/>
    <n v="7"/>
    <n v="0.2"/>
    <n v="62.807499999999997"/>
    <n v="0.3125"/>
  </r>
  <r>
    <n v="85"/>
    <s v="US-2017-119662"/>
    <x v="38"/>
    <d v="2017-11-16T00:00:00"/>
    <s v="First Class"/>
    <s v="CS-12400"/>
    <x v="37"/>
    <x v="2"/>
    <s v="United States"/>
    <s v="Chicago"/>
    <x v="10"/>
    <n v="60623"/>
    <x v="2"/>
    <s v="OFF-ST-10003656"/>
    <x v="1"/>
    <s v="Storage"/>
    <s v="Safco Industrial Wire Shelving"/>
    <n v="230.376"/>
    <n v="3"/>
    <n v="0.2"/>
    <n v="-48.954900000000002"/>
    <n v="-0.21249999999999999"/>
  </r>
  <r>
    <n v="86"/>
    <s v="CA-2017-140088"/>
    <x v="39"/>
    <d v="2017-05-30T00:00:00"/>
    <s v="Second Class"/>
    <s v="PO-18865"/>
    <x v="22"/>
    <x v="0"/>
    <s v="United States"/>
    <s v="Columbia"/>
    <x v="20"/>
    <n v="29203"/>
    <x v="0"/>
    <s v="FUR-CH-10000863"/>
    <x v="0"/>
    <s v="Chairs"/>
    <s v="Novimex Swivel Fabric Task Chair"/>
    <n v="301.95999999999998"/>
    <n v="2"/>
    <n v="0"/>
    <n v="33.215600000000002"/>
    <n v="0.11000000000000001"/>
  </r>
  <r>
    <n v="87"/>
    <s v="CA-2017-155558"/>
    <x v="40"/>
    <d v="2017-11-02T00:00:00"/>
    <s v="Standard Class"/>
    <s v="PG-18895"/>
    <x v="38"/>
    <x v="0"/>
    <s v="United States"/>
    <s v="Rochester"/>
    <x v="11"/>
    <n v="55901"/>
    <x v="2"/>
    <s v="TEC-AC-10001998"/>
    <x v="2"/>
    <s v="Accessories"/>
    <s v="Logitech LS21 Speaker System - PC Multimedia - 2.1-CH - Wired"/>
    <n v="19.989999999999998"/>
    <n v="1"/>
    <n v="0"/>
    <n v="6.7965999999999998"/>
    <n v="0.34"/>
  </r>
  <r>
    <n v="88"/>
    <s v="CA-2017-155558"/>
    <x v="40"/>
    <d v="2017-11-02T00:00:00"/>
    <s v="Standard Class"/>
    <s v="PG-18895"/>
    <x v="38"/>
    <x v="0"/>
    <s v="United States"/>
    <s v="Rochester"/>
    <x v="11"/>
    <n v="55901"/>
    <x v="2"/>
    <s v="OFF-LA-10000134"/>
    <x v="1"/>
    <s v="Labels"/>
    <s v="Avery 511"/>
    <n v="6.16"/>
    <n v="2"/>
    <n v="0"/>
    <n v="2.9567999999999999"/>
    <n v="0.48"/>
  </r>
  <r>
    <n v="89"/>
    <s v="CA-2016-159695"/>
    <x v="41"/>
    <d v="2016-04-10T00:00:00"/>
    <s v="Second Class"/>
    <s v="GM-14455"/>
    <x v="39"/>
    <x v="2"/>
    <s v="United States"/>
    <s v="Houston"/>
    <x v="5"/>
    <n v="77095"/>
    <x v="2"/>
    <s v="OFF-ST-10003442"/>
    <x v="1"/>
    <s v="Storage"/>
    <s v="Eldon Portable Mobile Manager"/>
    <n v="158.36799999999999"/>
    <n v="7"/>
    <n v="0.2"/>
    <n v="13.857200000000001"/>
    <n v="8.7500000000000008E-2"/>
  </r>
  <r>
    <n v="90"/>
    <s v="CA-2016-109806"/>
    <x v="42"/>
    <d v="2016-09-22T00:00:00"/>
    <s v="Standard Class"/>
    <s v="JS-15685"/>
    <x v="40"/>
    <x v="1"/>
    <s v="United States"/>
    <s v="Los Angeles"/>
    <x v="1"/>
    <n v="90036"/>
    <x v="1"/>
    <s v="OFF-AR-10004930"/>
    <x v="1"/>
    <s v="Art"/>
    <s v="Turquoise Lead Holder with Pocket Clip"/>
    <n v="20.100000000000001"/>
    <n v="3"/>
    <n v="0"/>
    <n v="6.633"/>
    <n v="0.32999999999999996"/>
  </r>
  <r>
    <n v="91"/>
    <s v="CA-2016-109806"/>
    <x v="42"/>
    <d v="2016-09-22T00:00:00"/>
    <s v="Standard Class"/>
    <s v="JS-15685"/>
    <x v="40"/>
    <x v="1"/>
    <s v="United States"/>
    <s v="Los Angeles"/>
    <x v="1"/>
    <n v="90036"/>
    <x v="1"/>
    <s v="TEC-PH-10004093"/>
    <x v="2"/>
    <s v="Phones"/>
    <s v="Panasonic Kx-TS550"/>
    <n v="73.584000000000003"/>
    <n v="2"/>
    <n v="0.2"/>
    <n v="8.2782"/>
    <n v="0.11249999999999999"/>
  </r>
  <r>
    <n v="92"/>
    <s v="CA-2016-109806"/>
    <x v="42"/>
    <d v="2016-09-22T00:00:00"/>
    <s v="Standard Class"/>
    <s v="JS-15685"/>
    <x v="40"/>
    <x v="1"/>
    <s v="United States"/>
    <s v="Los Angeles"/>
    <x v="1"/>
    <n v="90036"/>
    <x v="1"/>
    <s v="OFF-PA-10000304"/>
    <x v="1"/>
    <s v="Paper"/>
    <s v="Xerox 1995"/>
    <n v="6.48"/>
    <n v="1"/>
    <n v="0"/>
    <n v="3.1103999999999998"/>
    <n v="0.47999999999999993"/>
  </r>
  <r>
    <n v="93"/>
    <s v="CA-2015-149587"/>
    <x v="43"/>
    <d v="2015-02-05T00:00:00"/>
    <s v="Second Class"/>
    <s v="KB-16315"/>
    <x v="41"/>
    <x v="0"/>
    <s v="United States"/>
    <s v="Minneapolis"/>
    <x v="11"/>
    <n v="55407"/>
    <x v="2"/>
    <s v="OFF-PA-10003177"/>
    <x v="1"/>
    <s v="Paper"/>
    <s v="Xerox 1999"/>
    <n v="12.96"/>
    <n v="2"/>
    <n v="0"/>
    <n v="6.2207999999999997"/>
    <n v="0.47999999999999993"/>
  </r>
  <r>
    <n v="94"/>
    <s v="CA-2015-149587"/>
    <x v="43"/>
    <d v="2015-02-05T00:00:00"/>
    <s v="Second Class"/>
    <s v="KB-16315"/>
    <x v="41"/>
    <x v="0"/>
    <s v="United States"/>
    <s v="Minneapolis"/>
    <x v="11"/>
    <n v="55407"/>
    <x v="2"/>
    <s v="FUR-FU-10003799"/>
    <x v="0"/>
    <s v="Furnishings"/>
    <s v="Seth Thomas 13 1/2&quot; Wall Clock"/>
    <n v="53.34"/>
    <n v="3"/>
    <n v="0"/>
    <n v="16.535399999999999"/>
    <n v="0.30999999999999994"/>
  </r>
  <r>
    <n v="95"/>
    <s v="CA-2015-149587"/>
    <x v="43"/>
    <d v="2015-02-05T00:00:00"/>
    <s v="Second Class"/>
    <s v="KB-16315"/>
    <x v="41"/>
    <x v="0"/>
    <s v="United States"/>
    <s v="Minneapolis"/>
    <x v="11"/>
    <n v="55407"/>
    <x v="2"/>
    <s v="OFF-BI-10002852"/>
    <x v="1"/>
    <s v="Binders"/>
    <s v="Ibico Standard Transparent Covers"/>
    <n v="32.96"/>
    <n v="2"/>
    <n v="0"/>
    <n v="16.150400000000001"/>
    <n v="0.49000000000000005"/>
  </r>
  <r>
    <n v="96"/>
    <s v="US-2017-109484"/>
    <x v="44"/>
    <d v="2017-11-12T00:00:00"/>
    <s v="Standard Class"/>
    <s v="RB-19705"/>
    <x v="42"/>
    <x v="2"/>
    <s v="United States"/>
    <s v="Portland"/>
    <x v="21"/>
    <n v="97206"/>
    <x v="1"/>
    <s v="OFF-BI-10004738"/>
    <x v="1"/>
    <s v="Binders"/>
    <s v="Flexible Leather- Look Classic Collection Ring Binder"/>
    <n v="5.6820000000000004"/>
    <n v="1"/>
    <n v="0.7"/>
    <n v="-3.7879999999999998"/>
    <n v="-0.66666666666666663"/>
  </r>
  <r>
    <n v="97"/>
    <s v="CA-2017-161018"/>
    <x v="45"/>
    <d v="2017-11-11T00:00:00"/>
    <s v="Second Class"/>
    <s v="PN-18775"/>
    <x v="43"/>
    <x v="2"/>
    <s v="United States"/>
    <s v="New York City"/>
    <x v="15"/>
    <n v="10009"/>
    <x v="3"/>
    <s v="FUR-FU-10000629"/>
    <x v="0"/>
    <s v="Furnishings"/>
    <s v="9-3/4 Diameter Round Wall Clock"/>
    <n v="96.53"/>
    <n v="7"/>
    <n v="0"/>
    <n v="40.5426"/>
    <n v="0.42"/>
  </r>
  <r>
    <n v="98"/>
    <s v="CA-2017-157833"/>
    <x v="46"/>
    <d v="2017-06-20T00:00:00"/>
    <s v="First Class"/>
    <s v="KD-16345"/>
    <x v="44"/>
    <x v="0"/>
    <s v="United States"/>
    <s v="San Francisco"/>
    <x v="1"/>
    <n v="94122"/>
    <x v="1"/>
    <s v="OFF-BI-10001721"/>
    <x v="1"/>
    <s v="Binders"/>
    <s v="Trimflex Flexible Post Binders"/>
    <n v="51.311999999999998"/>
    <n v="3"/>
    <n v="0.2"/>
    <n v="17.959199999999999"/>
    <n v="0.35"/>
  </r>
  <r>
    <n v="99"/>
    <s v="CA-2016-149223"/>
    <x v="47"/>
    <d v="2016-09-11T00:00:00"/>
    <s v="Standard Class"/>
    <s v="ER-13855"/>
    <x v="45"/>
    <x v="1"/>
    <s v="United States"/>
    <s v="Saint Paul"/>
    <x v="11"/>
    <n v="55106"/>
    <x v="2"/>
    <s v="OFF-AP-10000358"/>
    <x v="1"/>
    <s v="Appliances"/>
    <s v="Fellowes Basic Home/Office Series Surge Protectors"/>
    <n v="77.88"/>
    <n v="6"/>
    <n v="0"/>
    <n v="22.5852"/>
    <n v="0.29000000000000004"/>
  </r>
  <r>
    <n v="100"/>
    <s v="CA-2016-158568"/>
    <x v="48"/>
    <d v="2016-09-02T00:00:00"/>
    <s v="Standard Class"/>
    <s v="RB-19465"/>
    <x v="46"/>
    <x v="2"/>
    <s v="United States"/>
    <s v="Chicago"/>
    <x v="10"/>
    <n v="60610"/>
    <x v="2"/>
    <s v="OFF-PA-10003256"/>
    <x v="1"/>
    <s v="Paper"/>
    <s v="Avery Personal Creations Heavyweight Cards"/>
    <n v="64.623999999999995"/>
    <n v="7"/>
    <n v="0.2"/>
    <n v="22.618400000000001"/>
    <n v="0.350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3F532-DB46-4082-9DF9-7AC7920781E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4"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numFmtId="1" showAll="0"/>
    <pivotField numFmtId="2" showAll="0"/>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2"/>
  </dataField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2">
          <reference field="4294967294" count="1" selected="0">
            <x v="0"/>
          </reference>
          <reference field="14" count="1" selected="0">
            <x v="1"/>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3A381-E6D6-47BB-A174-8CA79987DFC7}"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3:A164"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W$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3638D7-6FC2-497E-8AD0-38A3D09CD66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3:C147" firstHeaderRow="0" firstDataRow="1" firstDataCol="1"/>
  <pivotFields count="23">
    <pivotField numFmtId="1" showAll="0"/>
    <pivotField showAll="0"/>
    <pivotField numFmtId="164" showAll="0"/>
    <pivotField numFmtId="164" showAll="0"/>
    <pivotField axis="axisRow" showAll="0">
      <items count="4">
        <item x="2"/>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numFmtId="2" showAll="0"/>
    <pivotField numFmtId="1" showAll="0"/>
    <pivotField numFmtId="2" showAll="0"/>
    <pivotField numFmtId="2" showAll="0"/>
    <pivotField numFmtId="9" showAll="0"/>
    <pivotField dataField="1" numFmtId="1" showAll="0"/>
  </pivotFields>
  <rowFields count="1">
    <field x="4"/>
  </rowFields>
  <rowItems count="4">
    <i>
      <x/>
    </i>
    <i>
      <x v="1"/>
    </i>
    <i>
      <x v="2"/>
    </i>
    <i t="grand">
      <x/>
    </i>
  </rowItems>
  <colFields count="1">
    <field x="-2"/>
  </colFields>
  <colItems count="2">
    <i>
      <x/>
    </i>
    <i i="1">
      <x v="1"/>
    </i>
  </colItems>
  <dataFields count="2">
    <dataField name="Count of Days Before Shipment" fld="22" subtotal="count" baseField="4" baseItem="0"/>
    <dataField name="Average of Days Before Shipment" fld="22" subtotal="average" baseField="4"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F1560-47CF-4AB0-9624-12BD7D6FD3E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6:B130"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numFmtId="1" showAll="0"/>
    <pivotField dataField="1" numFmtId="2" showAll="0"/>
    <pivotField numFmtId="2" showAll="0"/>
    <pivotField numFmtId="2"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Average of Discount" fld="19" subtotal="average" baseField="14"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C3C93-5A4E-43D5-8788-85A5669600E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9:B113"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axis="axisRow" dataField="1"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2" showAll="0"/>
    <pivotField numFmtId="2" showAll="0"/>
    <pivotField numFmtId="2"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Count of Segment"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5C2846-CFBD-4F94-8F4A-A092AA79D9C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3:B98" firstHeaderRow="1" firstDataRow="1" firstDataCol="1"/>
  <pivotFields count="25">
    <pivotField numFmtId="1" showAll="0"/>
    <pivotField showAll="0"/>
    <pivotField axis="axisRow"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4"/>
    <field x="2"/>
  </rowFields>
  <rowItems count="5">
    <i>
      <x v="1"/>
    </i>
    <i>
      <x v="2"/>
    </i>
    <i>
      <x v="3"/>
    </i>
    <i>
      <x v="4"/>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C27548-B919-40A0-8FEA-1FFF0BCE5C8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26"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axis="axisRow" showAll="0" measureFilter="1">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2" showAll="0"/>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1"/>
    </i>
    <i>
      <x v="2"/>
    </i>
    <i>
      <x v="7"/>
    </i>
    <i>
      <x v="11"/>
    </i>
    <i>
      <x v="18"/>
    </i>
    <i t="grand">
      <x/>
    </i>
  </rowItems>
  <colItems count="1">
    <i/>
  </colItems>
  <dataFields count="1">
    <dataField name="Sum of Profit" fld="20" baseField="0" baseItem="0" numFmtId="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ECA9CB-5DA0-47F0-8D66-28B152CFCA9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axis="axisRow" showAll="0">
      <items count="5">
        <item x="2"/>
        <item x="3"/>
        <item x="0"/>
        <item x="1"/>
        <item t="default"/>
      </items>
    </pivotField>
    <pivotField showAll="0"/>
    <pivotField showAll="0">
      <items count="4">
        <item x="0"/>
        <item x="1"/>
        <item x="2"/>
        <item t="default"/>
      </items>
    </pivotField>
    <pivotField showAll="0"/>
    <pivotField showAll="0"/>
    <pivotField numFmtId="2" showAll="0"/>
    <pivotField numFmtId="1" showAll="0"/>
    <pivotField numFmtId="2" showAll="0"/>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2"/>
  </dataField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4330A4-2B80-4AA1-A810-AE5E3596F32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3:B79"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axis="axisRow" showAll="0" measureFilter="1">
      <items count="48">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6"/>
        <item x="42"/>
        <item x="19"/>
        <item x="11"/>
        <item x="2"/>
        <item x="17"/>
        <item x="34"/>
        <item x="26"/>
        <item x="14"/>
        <item x="9"/>
        <item t="default"/>
      </items>
    </pivotField>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1"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v="2"/>
    </i>
    <i>
      <x v="3"/>
    </i>
    <i>
      <x v="14"/>
    </i>
    <i>
      <x v="42"/>
    </i>
    <i>
      <x v="45"/>
    </i>
    <i t="grand">
      <x/>
    </i>
  </rowItems>
  <colItems count="1">
    <i/>
  </colItems>
  <dataFields count="1">
    <dataField name="Sum of Sales" fld="17" baseField="0" baseItem="0" numFmtId="2"/>
  </dataFields>
  <chartFormats count="4">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A02046-AAFC-4A9A-A415-F3A87C7969D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59" firstHeaderRow="1" firstDataRow="1" firstDataCol="1"/>
  <pivotFields count="25">
    <pivotField numFmtId="1" showAll="0"/>
    <pivotField showAll="0"/>
    <pivotField numFmtId="164" showAll="0">
      <items count="50">
        <item x="8"/>
        <item x="3"/>
        <item x="9"/>
        <item x="36"/>
        <item x="22"/>
        <item x="7"/>
        <item x="35"/>
        <item x="29"/>
        <item x="43"/>
        <item x="24"/>
        <item x="33"/>
        <item x="28"/>
        <item x="37"/>
        <item x="14"/>
        <item x="12"/>
        <item x="2"/>
        <item x="6"/>
        <item x="27"/>
        <item x="17"/>
        <item x="13"/>
        <item x="21"/>
        <item x="41"/>
        <item x="30"/>
        <item x="1"/>
        <item x="26"/>
        <item x="23"/>
        <item x="19"/>
        <item x="48"/>
        <item x="47"/>
        <item x="42"/>
        <item x="31"/>
        <item x="0"/>
        <item x="5"/>
        <item x="16"/>
        <item x="10"/>
        <item x="25"/>
        <item x="4"/>
        <item x="39"/>
        <item x="46"/>
        <item x="11"/>
        <item x="18"/>
        <item x="32"/>
        <item x="20"/>
        <item x="15"/>
        <item x="40"/>
        <item x="44"/>
        <item x="45"/>
        <item x="38"/>
        <item x="34"/>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numFmtId="1"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94D07B-E895-425B-85A9-3FB521588459}" sourceName="Seg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000551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A3A6E3-E3C9-43A6-A771-420BF48A7828}"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000551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73DED2-6745-4555-9F0C-553C042C4584}"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0005511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9D8DB21-6ACF-477F-9925-CD2220ACBEFE}" sourceName="Yea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00055113">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CD9D1B-09AE-4783-B8AA-35BC148FE102}" sourceName="St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00055113">
      <items count="22">
        <i x="19" s="1"/>
        <i x="16" s="1"/>
        <i x="1" s="1"/>
        <i x="13" s="1"/>
        <i x="2" s="1"/>
        <i x="10" s="1"/>
        <i x="14" s="1"/>
        <i x="0" s="1"/>
        <i x="12" s="1"/>
        <i x="11" s="1"/>
        <i x="8" s="1"/>
        <i x="15" s="1"/>
        <i x="3" s="1"/>
        <i x="21" s="1"/>
        <i x="9" s="1"/>
        <i x="20" s="1"/>
        <i x="18" s="1"/>
        <i x="5" s="1"/>
        <i x="7"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9B1470E-D0AF-4716-B0A0-95C9749DABBD}" cache="Slicer_Segment" caption="Segment" rowHeight="241300"/>
  <slicer name="Region" xr10:uid="{8F5452A8-DBAB-4D47-8FCD-C545D76A0A1D}" cache="Slicer_Region" caption="Region" rowHeight="241300"/>
  <slicer name="Category" xr10:uid="{7DF2E564-2A38-4FDF-934F-8D6B244E6E8D}" cache="Slicer_Category" caption="Category" rowHeight="241300"/>
  <slicer name="Years (Order Date)" xr10:uid="{9A8C5189-BAF0-4B2D-A172-E47ADA03122E}" cache="Slicer_Years__Order_Date" caption="Years (Order Date)" rowHeight="241300"/>
  <slicer name="State" xr10:uid="{F7876A47-287C-47B8-AD13-BA9B2B80D01E}"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F9D0-708D-4C90-BCF5-8F17E28045F9}">
  <dimension ref="A1:U101"/>
  <sheetViews>
    <sheetView tabSelected="1" topLeftCell="K64" zoomScaleNormal="100" workbookViewId="0">
      <selection activeCell="Q89" sqref="Q89"/>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6" width="11.1796875" bestFit="1" customWidth="1"/>
    <col min="7" max="7" width="17.08984375" bestFit="1" customWidth="1"/>
    <col min="8" max="8" width="11.1796875" bestFit="1" customWidth="1"/>
    <col min="9" max="9" width="11.81640625" bestFit="1" customWidth="1"/>
    <col min="10" max="10" width="14" bestFit="1" customWidth="1"/>
    <col min="11" max="11" width="13.08984375" bestFit="1" customWidth="1"/>
    <col min="12" max="12" width="10.54296875" bestFit="1" customWidth="1"/>
    <col min="13" max="13" width="6.81640625" bestFit="1" customWidth="1"/>
    <col min="14" max="14" width="15.90625" bestFit="1" customWidth="1"/>
    <col min="15" max="15" width="13.1796875" bestFit="1" customWidth="1"/>
    <col min="16" max="16" width="11.90625" bestFit="1" customWidth="1"/>
    <col min="17" max="17" width="83.6328125" bestFit="1" customWidth="1"/>
    <col min="18" max="18" width="8.81640625" bestFit="1" customWidth="1"/>
    <col min="19" max="19" width="8" bestFit="1" customWidth="1"/>
    <col min="20" max="20" width="8.08984375" bestFit="1" customWidth="1"/>
    <col min="21" max="21" width="10.453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0DBD-C62F-436D-85C2-FC1108E238EF}">
  <dimension ref="A1:AB101"/>
  <sheetViews>
    <sheetView topLeftCell="R1" workbookViewId="0">
      <selection activeCell="AB2" sqref="AB2"/>
    </sheetView>
  </sheetViews>
  <sheetFormatPr defaultRowHeight="14.5" x14ac:dyDescent="0.35"/>
  <cols>
    <col min="1" max="1" width="12.6328125" customWidth="1"/>
    <col min="2" max="2" width="17.08984375" customWidth="1"/>
    <col min="3" max="3" width="18" customWidth="1"/>
    <col min="4" max="4" width="19.1796875" customWidth="1"/>
    <col min="5" max="5" width="18.7265625" customWidth="1"/>
    <col min="6" max="6" width="17.26953125" customWidth="1"/>
    <col min="7" max="7" width="20.08984375" customWidth="1"/>
    <col min="8" max="8" width="15.7265625" customWidth="1"/>
    <col min="9" max="9" width="14.90625" customWidth="1"/>
    <col min="10" max="10" width="18.36328125" customWidth="1"/>
    <col min="11" max="11" width="13.36328125" customWidth="1"/>
    <col min="12" max="12" width="14.453125" customWidth="1"/>
    <col min="13" max="13" width="13.453125" customWidth="1"/>
    <col min="14" max="14" width="18.1796875" customWidth="1"/>
    <col min="15" max="15" width="15.08984375" customWidth="1"/>
    <col min="16" max="16" width="15.81640625" customWidth="1"/>
    <col min="17" max="17" width="83.6328125" bestFit="1" customWidth="1"/>
    <col min="18" max="18" width="12.7265625" customWidth="1"/>
    <col min="19" max="19" width="12" customWidth="1"/>
    <col min="20" max="20" width="11.81640625" customWidth="1"/>
    <col min="21" max="21" width="15.453125" customWidth="1"/>
    <col min="22" max="22" width="12.453125" bestFit="1" customWidth="1"/>
    <col min="23" max="23" width="19.36328125" bestFit="1" customWidth="1"/>
    <col min="25" max="25" width="9.6328125" bestFit="1" customWidth="1"/>
    <col min="26" max="26" width="10" bestFit="1" customWidth="1"/>
    <col min="27" max="27" width="11.1796875" bestFit="1" customWidth="1"/>
    <col min="28" max="28" width="11.7265625" bestFit="1" customWidth="1"/>
  </cols>
  <sheetData>
    <row r="1" spans="1:28" x14ac:dyDescent="0.35">
      <c r="A1" s="3" t="s">
        <v>0</v>
      </c>
      <c r="B1" t="s">
        <v>1</v>
      </c>
      <c r="C1" s="4" t="s">
        <v>2</v>
      </c>
      <c r="D1" s="4" t="s">
        <v>3</v>
      </c>
      <c r="E1" t="s">
        <v>4</v>
      </c>
      <c r="F1" t="s">
        <v>5</v>
      </c>
      <c r="G1" t="s">
        <v>6</v>
      </c>
      <c r="H1" t="s">
        <v>7</v>
      </c>
      <c r="I1" t="s">
        <v>8</v>
      </c>
      <c r="J1" t="s">
        <v>9</v>
      </c>
      <c r="K1" t="s">
        <v>10</v>
      </c>
      <c r="L1" s="3" t="s">
        <v>11</v>
      </c>
      <c r="M1" t="s">
        <v>12</v>
      </c>
      <c r="N1" t="s">
        <v>13</v>
      </c>
      <c r="O1" t="s">
        <v>14</v>
      </c>
      <c r="P1" t="s">
        <v>15</v>
      </c>
      <c r="Q1" t="s">
        <v>16</v>
      </c>
      <c r="R1" s="2" t="s">
        <v>17</v>
      </c>
      <c r="S1" s="3" t="s">
        <v>18</v>
      </c>
      <c r="T1" s="2" t="s">
        <v>19</v>
      </c>
      <c r="U1" s="2" t="s">
        <v>20</v>
      </c>
      <c r="V1" s="7" t="s">
        <v>504</v>
      </c>
      <c r="W1" s="3" t="s">
        <v>515</v>
      </c>
      <c r="Y1" t="s">
        <v>519</v>
      </c>
      <c r="Z1" t="s">
        <v>520</v>
      </c>
      <c r="AB1" t="s">
        <v>504</v>
      </c>
    </row>
    <row r="2" spans="1:28" x14ac:dyDescent="0.35">
      <c r="A2" s="3">
        <v>1</v>
      </c>
      <c r="B2" t="s">
        <v>21</v>
      </c>
      <c r="C2" s="4">
        <v>42682</v>
      </c>
      <c r="D2" s="4">
        <v>42685</v>
      </c>
      <c r="E2" t="s">
        <v>22</v>
      </c>
      <c r="F2" t="s">
        <v>23</v>
      </c>
      <c r="G2" t="s">
        <v>24</v>
      </c>
      <c r="H2" t="s">
        <v>25</v>
      </c>
      <c r="I2" t="s">
        <v>26</v>
      </c>
      <c r="J2" t="s">
        <v>27</v>
      </c>
      <c r="K2" t="s">
        <v>28</v>
      </c>
      <c r="L2" s="3">
        <v>42420</v>
      </c>
      <c r="M2" t="s">
        <v>29</v>
      </c>
      <c r="N2" t="s">
        <v>30</v>
      </c>
      <c r="O2" t="s">
        <v>31</v>
      </c>
      <c r="P2" t="s">
        <v>32</v>
      </c>
      <c r="Q2" t="s">
        <v>33</v>
      </c>
      <c r="R2" s="2">
        <v>261.95999999999998</v>
      </c>
      <c r="S2" s="3">
        <v>2</v>
      </c>
      <c r="T2" s="2">
        <v>0</v>
      </c>
      <c r="U2" s="2">
        <v>41.913600000000002</v>
      </c>
      <c r="V2" s="7">
        <f>U2/R2</f>
        <v>0.16000000000000003</v>
      </c>
      <c r="W2" s="3">
        <f>_xlfn.DAYS(D2, C2)</f>
        <v>3</v>
      </c>
      <c r="Y2" s="14">
        <f>SUM(R2:R101)</f>
        <v>21504.5317</v>
      </c>
      <c r="Z2" s="15">
        <f>SUM(U2:U101)</f>
        <v>-101.8906999999997</v>
      </c>
      <c r="AB2" s="16">
        <f>SUM(U2:U101)/SUM(R2:R101)</f>
        <v>-4.7381036435217841E-3</v>
      </c>
    </row>
    <row r="3" spans="1:28" x14ac:dyDescent="0.35">
      <c r="A3" s="3">
        <v>2</v>
      </c>
      <c r="B3" t="s">
        <v>21</v>
      </c>
      <c r="C3" s="4">
        <v>42682</v>
      </c>
      <c r="D3" s="4">
        <v>42685</v>
      </c>
      <c r="E3" t="s">
        <v>22</v>
      </c>
      <c r="F3" t="s">
        <v>23</v>
      </c>
      <c r="G3" t="s">
        <v>24</v>
      </c>
      <c r="H3" t="s">
        <v>25</v>
      </c>
      <c r="I3" t="s">
        <v>26</v>
      </c>
      <c r="J3" t="s">
        <v>27</v>
      </c>
      <c r="K3" t="s">
        <v>28</v>
      </c>
      <c r="L3" s="3">
        <v>42420</v>
      </c>
      <c r="M3" t="s">
        <v>29</v>
      </c>
      <c r="N3" t="s">
        <v>34</v>
      </c>
      <c r="O3" t="s">
        <v>31</v>
      </c>
      <c r="P3" t="s">
        <v>35</v>
      </c>
      <c r="Q3" t="s">
        <v>36</v>
      </c>
      <c r="R3" s="2">
        <v>731.94</v>
      </c>
      <c r="S3" s="3">
        <v>3</v>
      </c>
      <c r="T3" s="2">
        <v>0</v>
      </c>
      <c r="U3" s="2">
        <v>219.58199999999999</v>
      </c>
      <c r="V3" s="7">
        <f t="shared" ref="V3:V66" si="0">U3/R3</f>
        <v>0.3</v>
      </c>
      <c r="W3" s="3">
        <f t="shared" ref="W3:W66" si="1">_xlfn.DAYS(D3, C3)</f>
        <v>3</v>
      </c>
    </row>
    <row r="4" spans="1:28" x14ac:dyDescent="0.35">
      <c r="A4" s="3">
        <v>3</v>
      </c>
      <c r="B4" t="s">
        <v>37</v>
      </c>
      <c r="C4" s="4">
        <v>42533</v>
      </c>
      <c r="D4" s="4">
        <v>42537</v>
      </c>
      <c r="E4" t="s">
        <v>22</v>
      </c>
      <c r="F4" t="s">
        <v>39</v>
      </c>
      <c r="G4" t="s">
        <v>40</v>
      </c>
      <c r="H4" t="s">
        <v>41</v>
      </c>
      <c r="I4" t="s">
        <v>26</v>
      </c>
      <c r="J4" t="s">
        <v>42</v>
      </c>
      <c r="K4" t="s">
        <v>43</v>
      </c>
      <c r="L4" s="3">
        <v>90036</v>
      </c>
      <c r="M4" t="s">
        <v>44</v>
      </c>
      <c r="N4" t="s">
        <v>45</v>
      </c>
      <c r="O4" t="s">
        <v>46</v>
      </c>
      <c r="P4" t="s">
        <v>47</v>
      </c>
      <c r="Q4" t="s">
        <v>48</v>
      </c>
      <c r="R4" s="2">
        <v>14.62</v>
      </c>
      <c r="S4" s="3">
        <v>2</v>
      </c>
      <c r="T4" s="2">
        <v>0</v>
      </c>
      <c r="U4" s="2">
        <v>6.8714000000000004</v>
      </c>
      <c r="V4" s="7">
        <f t="shared" si="0"/>
        <v>0.47000000000000003</v>
      </c>
      <c r="W4" s="3">
        <f t="shared" si="1"/>
        <v>4</v>
      </c>
    </row>
    <row r="5" spans="1:28" x14ac:dyDescent="0.35">
      <c r="A5" s="3">
        <v>4</v>
      </c>
      <c r="B5" t="s">
        <v>49</v>
      </c>
      <c r="C5" s="4">
        <v>42288</v>
      </c>
      <c r="D5" s="4">
        <v>42295</v>
      </c>
      <c r="E5" t="s">
        <v>51</v>
      </c>
      <c r="F5" t="s">
        <v>52</v>
      </c>
      <c r="G5" t="s">
        <v>53</v>
      </c>
      <c r="H5" t="s">
        <v>25</v>
      </c>
      <c r="I5" t="s">
        <v>26</v>
      </c>
      <c r="J5" t="s">
        <v>54</v>
      </c>
      <c r="K5" t="s">
        <v>55</v>
      </c>
      <c r="L5" s="3">
        <v>33311</v>
      </c>
      <c r="M5" t="s">
        <v>29</v>
      </c>
      <c r="N5" t="s">
        <v>56</v>
      </c>
      <c r="O5" t="s">
        <v>31</v>
      </c>
      <c r="P5" t="s">
        <v>57</v>
      </c>
      <c r="Q5" t="s">
        <v>58</v>
      </c>
      <c r="R5" s="2">
        <v>957.57749999999999</v>
      </c>
      <c r="S5" s="3">
        <v>5</v>
      </c>
      <c r="T5" s="2">
        <v>0.45</v>
      </c>
      <c r="U5" s="2">
        <v>-383.03100000000001</v>
      </c>
      <c r="V5" s="7">
        <f t="shared" si="0"/>
        <v>-0.4</v>
      </c>
      <c r="W5" s="3">
        <f t="shared" si="1"/>
        <v>7</v>
      </c>
      <c r="Y5" s="10"/>
    </row>
    <row r="6" spans="1:28" x14ac:dyDescent="0.35">
      <c r="A6" s="3">
        <v>5</v>
      </c>
      <c r="B6" t="s">
        <v>49</v>
      </c>
      <c r="C6" s="4">
        <v>42288</v>
      </c>
      <c r="D6" s="4">
        <v>42295</v>
      </c>
      <c r="E6" t="s">
        <v>51</v>
      </c>
      <c r="F6" t="s">
        <v>52</v>
      </c>
      <c r="G6" t="s">
        <v>53</v>
      </c>
      <c r="H6" t="s">
        <v>25</v>
      </c>
      <c r="I6" t="s">
        <v>26</v>
      </c>
      <c r="J6" t="s">
        <v>54</v>
      </c>
      <c r="K6" t="s">
        <v>55</v>
      </c>
      <c r="L6" s="3">
        <v>33311</v>
      </c>
      <c r="M6" t="s">
        <v>29</v>
      </c>
      <c r="N6" t="s">
        <v>59</v>
      </c>
      <c r="O6" t="s">
        <v>46</v>
      </c>
      <c r="P6" t="s">
        <v>60</v>
      </c>
      <c r="Q6" t="s">
        <v>61</v>
      </c>
      <c r="R6" s="2">
        <v>22.367999999999999</v>
      </c>
      <c r="S6" s="3">
        <v>2</v>
      </c>
      <c r="T6" s="2">
        <v>0.2</v>
      </c>
      <c r="U6" s="2">
        <v>2.5164</v>
      </c>
      <c r="V6" s="7">
        <f t="shared" si="0"/>
        <v>0.1125</v>
      </c>
      <c r="W6" s="3">
        <f t="shared" si="1"/>
        <v>7</v>
      </c>
    </row>
    <row r="7" spans="1:28" x14ac:dyDescent="0.35">
      <c r="A7" s="3">
        <v>6</v>
      </c>
      <c r="B7" t="s">
        <v>62</v>
      </c>
      <c r="C7" s="4">
        <v>41799</v>
      </c>
      <c r="D7" s="4">
        <v>41804</v>
      </c>
      <c r="E7" t="s">
        <v>51</v>
      </c>
      <c r="F7" t="s">
        <v>64</v>
      </c>
      <c r="G7" t="s">
        <v>65</v>
      </c>
      <c r="H7" t="s">
        <v>25</v>
      </c>
      <c r="I7" t="s">
        <v>26</v>
      </c>
      <c r="J7" t="s">
        <v>42</v>
      </c>
      <c r="K7" t="s">
        <v>43</v>
      </c>
      <c r="L7" s="3">
        <v>90032</v>
      </c>
      <c r="M7" t="s">
        <v>44</v>
      </c>
      <c r="N7" t="s">
        <v>66</v>
      </c>
      <c r="O7" t="s">
        <v>31</v>
      </c>
      <c r="P7" t="s">
        <v>67</v>
      </c>
      <c r="Q7" t="s">
        <v>68</v>
      </c>
      <c r="R7" s="2">
        <v>48.86</v>
      </c>
      <c r="S7" s="3">
        <v>7</v>
      </c>
      <c r="T7" s="2">
        <v>0</v>
      </c>
      <c r="U7" s="2">
        <v>14.1694</v>
      </c>
      <c r="V7" s="7">
        <f t="shared" si="0"/>
        <v>0.28999999999999998</v>
      </c>
      <c r="W7" s="3">
        <f t="shared" si="1"/>
        <v>5</v>
      </c>
    </row>
    <row r="8" spans="1:28" x14ac:dyDescent="0.35">
      <c r="A8" s="3">
        <v>7</v>
      </c>
      <c r="B8" t="s">
        <v>62</v>
      </c>
      <c r="C8" s="4">
        <v>41799</v>
      </c>
      <c r="D8" s="4">
        <v>41804</v>
      </c>
      <c r="E8" t="s">
        <v>51</v>
      </c>
      <c r="F8" t="s">
        <v>64</v>
      </c>
      <c r="G8" t="s">
        <v>65</v>
      </c>
      <c r="H8" t="s">
        <v>25</v>
      </c>
      <c r="I8" t="s">
        <v>26</v>
      </c>
      <c r="J8" t="s">
        <v>42</v>
      </c>
      <c r="K8" t="s">
        <v>43</v>
      </c>
      <c r="L8" s="3">
        <v>90032</v>
      </c>
      <c r="M8" t="s">
        <v>44</v>
      </c>
      <c r="N8" t="s">
        <v>69</v>
      </c>
      <c r="O8" t="s">
        <v>46</v>
      </c>
      <c r="P8" t="s">
        <v>70</v>
      </c>
      <c r="Q8" t="s">
        <v>71</v>
      </c>
      <c r="R8" s="2">
        <v>7.28</v>
      </c>
      <c r="S8" s="3">
        <v>4</v>
      </c>
      <c r="T8" s="2">
        <v>0</v>
      </c>
      <c r="U8" s="2">
        <v>1.9656</v>
      </c>
      <c r="V8" s="7">
        <f t="shared" si="0"/>
        <v>0.27</v>
      </c>
      <c r="W8" s="3">
        <f t="shared" si="1"/>
        <v>5</v>
      </c>
    </row>
    <row r="9" spans="1:28" x14ac:dyDescent="0.35">
      <c r="A9" s="3">
        <v>8</v>
      </c>
      <c r="B9" t="s">
        <v>62</v>
      </c>
      <c r="C9" s="4">
        <v>41799</v>
      </c>
      <c r="D9" s="4">
        <v>41804</v>
      </c>
      <c r="E9" t="s">
        <v>51</v>
      </c>
      <c r="F9" t="s">
        <v>64</v>
      </c>
      <c r="G9" t="s">
        <v>65</v>
      </c>
      <c r="H9" t="s">
        <v>25</v>
      </c>
      <c r="I9" t="s">
        <v>26</v>
      </c>
      <c r="J9" t="s">
        <v>42</v>
      </c>
      <c r="K9" t="s">
        <v>43</v>
      </c>
      <c r="L9" s="3">
        <v>90032</v>
      </c>
      <c r="M9" t="s">
        <v>44</v>
      </c>
      <c r="N9" t="s">
        <v>72</v>
      </c>
      <c r="O9" t="s">
        <v>73</v>
      </c>
      <c r="P9" t="s">
        <v>74</v>
      </c>
      <c r="Q9" t="s">
        <v>75</v>
      </c>
      <c r="R9" s="2">
        <v>907.15200000000004</v>
      </c>
      <c r="S9" s="3">
        <v>6</v>
      </c>
      <c r="T9" s="2">
        <v>0.2</v>
      </c>
      <c r="U9" s="2">
        <v>90.715199999999996</v>
      </c>
      <c r="V9" s="7">
        <f t="shared" si="0"/>
        <v>9.9999999999999992E-2</v>
      </c>
      <c r="W9" s="3">
        <f t="shared" si="1"/>
        <v>5</v>
      </c>
    </row>
    <row r="10" spans="1:28" x14ac:dyDescent="0.35">
      <c r="A10" s="3">
        <v>9</v>
      </c>
      <c r="B10" t="s">
        <v>62</v>
      </c>
      <c r="C10" s="4">
        <v>41799</v>
      </c>
      <c r="D10" s="4">
        <v>41804</v>
      </c>
      <c r="E10" t="s">
        <v>51</v>
      </c>
      <c r="F10" t="s">
        <v>64</v>
      </c>
      <c r="G10" t="s">
        <v>65</v>
      </c>
      <c r="H10" t="s">
        <v>25</v>
      </c>
      <c r="I10" t="s">
        <v>26</v>
      </c>
      <c r="J10" t="s">
        <v>42</v>
      </c>
      <c r="K10" t="s">
        <v>43</v>
      </c>
      <c r="L10" s="3">
        <v>90032</v>
      </c>
      <c r="M10" t="s">
        <v>44</v>
      </c>
      <c r="N10" t="s">
        <v>76</v>
      </c>
      <c r="O10" t="s">
        <v>46</v>
      </c>
      <c r="P10" t="s">
        <v>77</v>
      </c>
      <c r="Q10" t="s">
        <v>78</v>
      </c>
      <c r="R10" s="2">
        <v>18.504000000000001</v>
      </c>
      <c r="S10" s="3">
        <v>3</v>
      </c>
      <c r="T10" s="2">
        <v>0.2</v>
      </c>
      <c r="U10" s="2">
        <v>5.7824999999999998</v>
      </c>
      <c r="V10" s="7">
        <f t="shared" si="0"/>
        <v>0.31249999999999994</v>
      </c>
      <c r="W10" s="3">
        <f t="shared" si="1"/>
        <v>5</v>
      </c>
    </row>
    <row r="11" spans="1:28" x14ac:dyDescent="0.35">
      <c r="A11" s="3">
        <v>10</v>
      </c>
      <c r="B11" t="s">
        <v>62</v>
      </c>
      <c r="C11" s="4">
        <v>41799</v>
      </c>
      <c r="D11" s="4">
        <v>41804</v>
      </c>
      <c r="E11" t="s">
        <v>51</v>
      </c>
      <c r="F11" t="s">
        <v>64</v>
      </c>
      <c r="G11" t="s">
        <v>65</v>
      </c>
      <c r="H11" t="s">
        <v>25</v>
      </c>
      <c r="I11" t="s">
        <v>26</v>
      </c>
      <c r="J11" t="s">
        <v>42</v>
      </c>
      <c r="K11" t="s">
        <v>43</v>
      </c>
      <c r="L11" s="3">
        <v>90032</v>
      </c>
      <c r="M11" t="s">
        <v>44</v>
      </c>
      <c r="N11" t="s">
        <v>79</v>
      </c>
      <c r="O11" t="s">
        <v>46</v>
      </c>
      <c r="P11" t="s">
        <v>80</v>
      </c>
      <c r="Q11" t="s">
        <v>81</v>
      </c>
      <c r="R11" s="2">
        <v>114.9</v>
      </c>
      <c r="S11" s="3">
        <v>5</v>
      </c>
      <c r="T11" s="2">
        <v>0</v>
      </c>
      <c r="U11" s="2">
        <v>34.47</v>
      </c>
      <c r="V11" s="7">
        <f t="shared" si="0"/>
        <v>0.3</v>
      </c>
      <c r="W11" s="3">
        <f t="shared" si="1"/>
        <v>5</v>
      </c>
    </row>
    <row r="12" spans="1:28" x14ac:dyDescent="0.35">
      <c r="A12" s="3">
        <v>11</v>
      </c>
      <c r="B12" t="s">
        <v>62</v>
      </c>
      <c r="C12" s="4">
        <v>41799</v>
      </c>
      <c r="D12" s="4">
        <v>41804</v>
      </c>
      <c r="E12" t="s">
        <v>51</v>
      </c>
      <c r="F12" t="s">
        <v>64</v>
      </c>
      <c r="G12" t="s">
        <v>65</v>
      </c>
      <c r="H12" t="s">
        <v>25</v>
      </c>
      <c r="I12" t="s">
        <v>26</v>
      </c>
      <c r="J12" t="s">
        <v>42</v>
      </c>
      <c r="K12" t="s">
        <v>43</v>
      </c>
      <c r="L12" s="3">
        <v>90032</v>
      </c>
      <c r="M12" t="s">
        <v>44</v>
      </c>
      <c r="N12" t="s">
        <v>82</v>
      </c>
      <c r="O12" t="s">
        <v>31</v>
      </c>
      <c r="P12" t="s">
        <v>57</v>
      </c>
      <c r="Q12" t="s">
        <v>83</v>
      </c>
      <c r="R12" s="2">
        <v>1706.184</v>
      </c>
      <c r="S12" s="3">
        <v>9</v>
      </c>
      <c r="T12" s="2">
        <v>0.2</v>
      </c>
      <c r="U12" s="2">
        <v>85.309200000000004</v>
      </c>
      <c r="V12" s="7">
        <f t="shared" si="0"/>
        <v>0.05</v>
      </c>
      <c r="W12" s="3">
        <f t="shared" si="1"/>
        <v>5</v>
      </c>
    </row>
    <row r="13" spans="1:28" x14ac:dyDescent="0.35">
      <c r="A13" s="3">
        <v>12</v>
      </c>
      <c r="B13" t="s">
        <v>62</v>
      </c>
      <c r="C13" s="4">
        <v>41799</v>
      </c>
      <c r="D13" s="4">
        <v>41804</v>
      </c>
      <c r="E13" t="s">
        <v>51</v>
      </c>
      <c r="F13" t="s">
        <v>64</v>
      </c>
      <c r="G13" t="s">
        <v>65</v>
      </c>
      <c r="H13" t="s">
        <v>25</v>
      </c>
      <c r="I13" t="s">
        <v>26</v>
      </c>
      <c r="J13" t="s">
        <v>42</v>
      </c>
      <c r="K13" t="s">
        <v>43</v>
      </c>
      <c r="L13" s="3">
        <v>90032</v>
      </c>
      <c r="M13" t="s">
        <v>44</v>
      </c>
      <c r="N13" t="s">
        <v>84</v>
      </c>
      <c r="O13" t="s">
        <v>73</v>
      </c>
      <c r="P13" t="s">
        <v>74</v>
      </c>
      <c r="Q13" t="s">
        <v>85</v>
      </c>
      <c r="R13" s="2">
        <v>911.42399999999998</v>
      </c>
      <c r="S13" s="3">
        <v>4</v>
      </c>
      <c r="T13" s="2">
        <v>0.2</v>
      </c>
      <c r="U13" s="2">
        <v>68.356800000000007</v>
      </c>
      <c r="V13" s="7">
        <f t="shared" si="0"/>
        <v>7.5000000000000011E-2</v>
      </c>
      <c r="W13" s="3">
        <f t="shared" si="1"/>
        <v>5</v>
      </c>
    </row>
    <row r="14" spans="1:28" x14ac:dyDescent="0.35">
      <c r="A14" s="3">
        <v>13</v>
      </c>
      <c r="B14" t="s">
        <v>86</v>
      </c>
      <c r="C14" s="4">
        <v>42840</v>
      </c>
      <c r="D14" s="4">
        <v>42845</v>
      </c>
      <c r="E14" t="s">
        <v>51</v>
      </c>
      <c r="F14" t="s">
        <v>89</v>
      </c>
      <c r="G14" t="s">
        <v>90</v>
      </c>
      <c r="H14" t="s">
        <v>25</v>
      </c>
      <c r="I14" t="s">
        <v>26</v>
      </c>
      <c r="J14" t="s">
        <v>91</v>
      </c>
      <c r="K14" t="s">
        <v>92</v>
      </c>
      <c r="L14" s="3">
        <v>28027</v>
      </c>
      <c r="M14" t="s">
        <v>29</v>
      </c>
      <c r="N14" t="s">
        <v>93</v>
      </c>
      <c r="O14" t="s">
        <v>46</v>
      </c>
      <c r="P14" t="s">
        <v>94</v>
      </c>
      <c r="Q14" t="s">
        <v>95</v>
      </c>
      <c r="R14" s="2">
        <v>15.552</v>
      </c>
      <c r="S14" s="3">
        <v>3</v>
      </c>
      <c r="T14" s="2">
        <v>0.2</v>
      </c>
      <c r="U14" s="2">
        <v>5.4432</v>
      </c>
      <c r="V14" s="7">
        <f t="shared" si="0"/>
        <v>0.35000000000000003</v>
      </c>
      <c r="W14" s="3">
        <f t="shared" si="1"/>
        <v>5</v>
      </c>
    </row>
    <row r="15" spans="1:28" x14ac:dyDescent="0.35">
      <c r="A15" s="3">
        <v>14</v>
      </c>
      <c r="B15" t="s">
        <v>96</v>
      </c>
      <c r="C15" s="4">
        <v>42709</v>
      </c>
      <c r="D15" s="4">
        <v>42714</v>
      </c>
      <c r="E15" t="s">
        <v>51</v>
      </c>
      <c r="F15" t="s">
        <v>97</v>
      </c>
      <c r="G15" t="s">
        <v>98</v>
      </c>
      <c r="H15" t="s">
        <v>25</v>
      </c>
      <c r="I15" t="s">
        <v>26</v>
      </c>
      <c r="J15" t="s">
        <v>99</v>
      </c>
      <c r="K15" t="s">
        <v>100</v>
      </c>
      <c r="L15" s="3">
        <v>98103</v>
      </c>
      <c r="M15" t="s">
        <v>44</v>
      </c>
      <c r="N15" t="s">
        <v>101</v>
      </c>
      <c r="O15" t="s">
        <v>46</v>
      </c>
      <c r="P15" t="s">
        <v>77</v>
      </c>
      <c r="Q15" t="s">
        <v>102</v>
      </c>
      <c r="R15" s="2">
        <v>407.976</v>
      </c>
      <c r="S15" s="3">
        <v>3</v>
      </c>
      <c r="T15" s="2">
        <v>0.2</v>
      </c>
      <c r="U15" s="2">
        <v>132.59219999999999</v>
      </c>
      <c r="V15" s="7">
        <f t="shared" si="0"/>
        <v>0.32499999999999996</v>
      </c>
      <c r="W15" s="3">
        <f t="shared" si="1"/>
        <v>5</v>
      </c>
    </row>
    <row r="16" spans="1:28" x14ac:dyDescent="0.35">
      <c r="A16" s="3">
        <v>15</v>
      </c>
      <c r="B16" t="s">
        <v>103</v>
      </c>
      <c r="C16" s="4">
        <v>42330</v>
      </c>
      <c r="D16" s="4">
        <v>42334</v>
      </c>
      <c r="E16" t="s">
        <v>51</v>
      </c>
      <c r="F16" t="s">
        <v>106</v>
      </c>
      <c r="G16" t="s">
        <v>107</v>
      </c>
      <c r="H16" t="s">
        <v>108</v>
      </c>
      <c r="I16" t="s">
        <v>26</v>
      </c>
      <c r="J16" t="s">
        <v>109</v>
      </c>
      <c r="K16" t="s">
        <v>110</v>
      </c>
      <c r="L16" s="3">
        <v>76106</v>
      </c>
      <c r="M16" t="s">
        <v>111</v>
      </c>
      <c r="N16" t="s">
        <v>112</v>
      </c>
      <c r="O16" t="s">
        <v>46</v>
      </c>
      <c r="P16" t="s">
        <v>80</v>
      </c>
      <c r="Q16" t="s">
        <v>113</v>
      </c>
      <c r="R16" s="2">
        <v>68.81</v>
      </c>
      <c r="S16" s="3">
        <v>5</v>
      </c>
      <c r="T16" s="2">
        <v>0.8</v>
      </c>
      <c r="U16" s="2">
        <v>-123.858</v>
      </c>
      <c r="V16" s="7">
        <f t="shared" si="0"/>
        <v>-1.8</v>
      </c>
      <c r="W16" s="3">
        <f t="shared" si="1"/>
        <v>4</v>
      </c>
    </row>
    <row r="17" spans="1:23" x14ac:dyDescent="0.35">
      <c r="A17" s="3">
        <v>16</v>
      </c>
      <c r="B17" t="s">
        <v>103</v>
      </c>
      <c r="C17" s="4">
        <v>42330</v>
      </c>
      <c r="D17" s="4">
        <v>42334</v>
      </c>
      <c r="E17" t="s">
        <v>51</v>
      </c>
      <c r="F17" t="s">
        <v>106</v>
      </c>
      <c r="G17" t="s">
        <v>107</v>
      </c>
      <c r="H17" t="s">
        <v>108</v>
      </c>
      <c r="I17" t="s">
        <v>26</v>
      </c>
      <c r="J17" t="s">
        <v>109</v>
      </c>
      <c r="K17" t="s">
        <v>110</v>
      </c>
      <c r="L17" s="3">
        <v>76106</v>
      </c>
      <c r="M17" t="s">
        <v>111</v>
      </c>
      <c r="N17" t="s">
        <v>114</v>
      </c>
      <c r="O17" t="s">
        <v>46</v>
      </c>
      <c r="P17" t="s">
        <v>77</v>
      </c>
      <c r="Q17" t="s">
        <v>115</v>
      </c>
      <c r="R17" s="2">
        <v>2.544</v>
      </c>
      <c r="S17" s="3">
        <v>3</v>
      </c>
      <c r="T17" s="2">
        <v>0.8</v>
      </c>
      <c r="U17" s="2">
        <v>-3.8159999999999998</v>
      </c>
      <c r="V17" s="7">
        <f t="shared" si="0"/>
        <v>-1.5</v>
      </c>
      <c r="W17" s="3">
        <f t="shared" si="1"/>
        <v>4</v>
      </c>
    </row>
    <row r="18" spans="1:23" x14ac:dyDescent="0.35">
      <c r="A18" s="3">
        <v>17</v>
      </c>
      <c r="B18" t="s">
        <v>116</v>
      </c>
      <c r="C18" s="4">
        <v>41954</v>
      </c>
      <c r="D18" s="4">
        <v>41961</v>
      </c>
      <c r="E18" t="s">
        <v>51</v>
      </c>
      <c r="F18" t="s">
        <v>118</v>
      </c>
      <c r="G18" t="s">
        <v>119</v>
      </c>
      <c r="H18" t="s">
        <v>25</v>
      </c>
      <c r="I18" t="s">
        <v>26</v>
      </c>
      <c r="J18" t="s">
        <v>120</v>
      </c>
      <c r="K18" t="s">
        <v>121</v>
      </c>
      <c r="L18" s="3">
        <v>53711</v>
      </c>
      <c r="M18" t="s">
        <v>111</v>
      </c>
      <c r="N18" t="s">
        <v>122</v>
      </c>
      <c r="O18" t="s">
        <v>46</v>
      </c>
      <c r="P18" t="s">
        <v>60</v>
      </c>
      <c r="Q18" t="s">
        <v>123</v>
      </c>
      <c r="R18" s="2">
        <v>665.88</v>
      </c>
      <c r="S18" s="3">
        <v>6</v>
      </c>
      <c r="T18" s="2">
        <v>0</v>
      </c>
      <c r="U18" s="2">
        <v>13.317600000000001</v>
      </c>
      <c r="V18" s="7">
        <f t="shared" si="0"/>
        <v>0.02</v>
      </c>
      <c r="W18" s="3">
        <f t="shared" si="1"/>
        <v>7</v>
      </c>
    </row>
    <row r="19" spans="1:23" x14ac:dyDescent="0.35">
      <c r="A19" s="3">
        <v>18</v>
      </c>
      <c r="B19" t="s">
        <v>124</v>
      </c>
      <c r="C19" s="4">
        <v>41772</v>
      </c>
      <c r="D19" s="4">
        <v>41774</v>
      </c>
      <c r="E19" t="s">
        <v>22</v>
      </c>
      <c r="F19" t="s">
        <v>127</v>
      </c>
      <c r="G19" t="s">
        <v>128</v>
      </c>
      <c r="H19" t="s">
        <v>25</v>
      </c>
      <c r="I19" t="s">
        <v>26</v>
      </c>
      <c r="J19" t="s">
        <v>129</v>
      </c>
      <c r="K19" t="s">
        <v>130</v>
      </c>
      <c r="L19" s="3">
        <v>84084</v>
      </c>
      <c r="M19" t="s">
        <v>44</v>
      </c>
      <c r="N19" t="s">
        <v>131</v>
      </c>
      <c r="O19" t="s">
        <v>46</v>
      </c>
      <c r="P19" t="s">
        <v>60</v>
      </c>
      <c r="Q19" t="s">
        <v>132</v>
      </c>
      <c r="R19" s="2">
        <v>55.5</v>
      </c>
      <c r="S19" s="3">
        <v>2</v>
      </c>
      <c r="T19" s="2">
        <v>0</v>
      </c>
      <c r="U19" s="2">
        <v>9.99</v>
      </c>
      <c r="V19" s="7">
        <f t="shared" si="0"/>
        <v>0.18</v>
      </c>
      <c r="W19" s="3">
        <f t="shared" si="1"/>
        <v>2</v>
      </c>
    </row>
    <row r="20" spans="1:23" x14ac:dyDescent="0.35">
      <c r="A20" s="3">
        <v>19</v>
      </c>
      <c r="B20" t="s">
        <v>133</v>
      </c>
      <c r="C20" s="4">
        <v>41878</v>
      </c>
      <c r="D20" s="4">
        <v>41883</v>
      </c>
      <c r="E20" t="s">
        <v>22</v>
      </c>
      <c r="F20" t="s">
        <v>135</v>
      </c>
      <c r="G20" t="s">
        <v>136</v>
      </c>
      <c r="H20" t="s">
        <v>25</v>
      </c>
      <c r="I20" t="s">
        <v>26</v>
      </c>
      <c r="J20" t="s">
        <v>137</v>
      </c>
      <c r="K20" t="s">
        <v>43</v>
      </c>
      <c r="L20" s="3">
        <v>94109</v>
      </c>
      <c r="M20" t="s">
        <v>44</v>
      </c>
      <c r="N20" t="s">
        <v>138</v>
      </c>
      <c r="O20" t="s">
        <v>46</v>
      </c>
      <c r="P20" t="s">
        <v>70</v>
      </c>
      <c r="Q20" t="s">
        <v>139</v>
      </c>
      <c r="R20" s="2">
        <v>8.56</v>
      </c>
      <c r="S20" s="3">
        <v>2</v>
      </c>
      <c r="T20" s="2">
        <v>0</v>
      </c>
      <c r="U20" s="2">
        <v>2.4824000000000002</v>
      </c>
      <c r="V20" s="7">
        <f t="shared" si="0"/>
        <v>0.28999999999999998</v>
      </c>
      <c r="W20" s="3">
        <f t="shared" si="1"/>
        <v>5</v>
      </c>
    </row>
    <row r="21" spans="1:23" x14ac:dyDescent="0.35">
      <c r="A21" s="3">
        <v>20</v>
      </c>
      <c r="B21" t="s">
        <v>133</v>
      </c>
      <c r="C21" s="4">
        <v>41878</v>
      </c>
      <c r="D21" s="4">
        <v>41883</v>
      </c>
      <c r="E21" t="s">
        <v>22</v>
      </c>
      <c r="F21" t="s">
        <v>135</v>
      </c>
      <c r="G21" t="s">
        <v>136</v>
      </c>
      <c r="H21" t="s">
        <v>25</v>
      </c>
      <c r="I21" t="s">
        <v>26</v>
      </c>
      <c r="J21" t="s">
        <v>137</v>
      </c>
      <c r="K21" t="s">
        <v>43</v>
      </c>
      <c r="L21" s="3">
        <v>94109</v>
      </c>
      <c r="M21" t="s">
        <v>44</v>
      </c>
      <c r="N21" t="s">
        <v>140</v>
      </c>
      <c r="O21" t="s">
        <v>73</v>
      </c>
      <c r="P21" t="s">
        <v>74</v>
      </c>
      <c r="Q21" t="s">
        <v>141</v>
      </c>
      <c r="R21" s="2">
        <v>213.48</v>
      </c>
      <c r="S21" s="3">
        <v>3</v>
      </c>
      <c r="T21" s="2">
        <v>0.2</v>
      </c>
      <c r="U21" s="2">
        <v>16.010999999999999</v>
      </c>
      <c r="V21" s="7">
        <f t="shared" si="0"/>
        <v>7.4999999999999997E-2</v>
      </c>
      <c r="W21" s="3">
        <f t="shared" si="1"/>
        <v>5</v>
      </c>
    </row>
    <row r="22" spans="1:23" x14ac:dyDescent="0.35">
      <c r="A22" s="3">
        <v>21</v>
      </c>
      <c r="B22" t="s">
        <v>133</v>
      </c>
      <c r="C22" s="4">
        <v>41878</v>
      </c>
      <c r="D22" s="4">
        <v>41883</v>
      </c>
      <c r="E22" t="s">
        <v>22</v>
      </c>
      <c r="F22" t="s">
        <v>135</v>
      </c>
      <c r="G22" t="s">
        <v>136</v>
      </c>
      <c r="H22" t="s">
        <v>25</v>
      </c>
      <c r="I22" t="s">
        <v>26</v>
      </c>
      <c r="J22" t="s">
        <v>137</v>
      </c>
      <c r="K22" t="s">
        <v>43</v>
      </c>
      <c r="L22" s="3">
        <v>94109</v>
      </c>
      <c r="M22" t="s">
        <v>44</v>
      </c>
      <c r="N22" t="s">
        <v>142</v>
      </c>
      <c r="O22" t="s">
        <v>46</v>
      </c>
      <c r="P22" t="s">
        <v>77</v>
      </c>
      <c r="Q22" t="s">
        <v>143</v>
      </c>
      <c r="R22" s="2">
        <v>22.72</v>
      </c>
      <c r="S22" s="3">
        <v>4</v>
      </c>
      <c r="T22" s="2">
        <v>0.2</v>
      </c>
      <c r="U22" s="2">
        <v>7.3840000000000003</v>
      </c>
      <c r="V22" s="7">
        <f t="shared" si="0"/>
        <v>0.32500000000000001</v>
      </c>
      <c r="W22" s="3">
        <f t="shared" si="1"/>
        <v>5</v>
      </c>
    </row>
    <row r="23" spans="1:23" x14ac:dyDescent="0.35">
      <c r="A23" s="3">
        <v>22</v>
      </c>
      <c r="B23" t="s">
        <v>144</v>
      </c>
      <c r="C23" s="4">
        <v>42713</v>
      </c>
      <c r="D23" s="4">
        <v>42717</v>
      </c>
      <c r="E23" t="s">
        <v>51</v>
      </c>
      <c r="F23" t="s">
        <v>146</v>
      </c>
      <c r="G23" t="s">
        <v>147</v>
      </c>
      <c r="H23" t="s">
        <v>41</v>
      </c>
      <c r="I23" t="s">
        <v>26</v>
      </c>
      <c r="J23" t="s">
        <v>148</v>
      </c>
      <c r="K23" t="s">
        <v>149</v>
      </c>
      <c r="L23" s="3">
        <v>68025</v>
      </c>
      <c r="M23" t="s">
        <v>111</v>
      </c>
      <c r="N23" t="s">
        <v>150</v>
      </c>
      <c r="O23" t="s">
        <v>46</v>
      </c>
      <c r="P23" t="s">
        <v>70</v>
      </c>
      <c r="Q23" t="s">
        <v>151</v>
      </c>
      <c r="R23" s="2">
        <v>19.46</v>
      </c>
      <c r="S23" s="3">
        <v>7</v>
      </c>
      <c r="T23" s="2">
        <v>0</v>
      </c>
      <c r="U23" s="2">
        <v>5.0595999999999997</v>
      </c>
      <c r="V23" s="7">
        <f t="shared" si="0"/>
        <v>0.25999999999999995</v>
      </c>
      <c r="W23" s="3">
        <f t="shared" si="1"/>
        <v>4</v>
      </c>
    </row>
    <row r="24" spans="1:23" x14ac:dyDescent="0.35">
      <c r="A24" s="3">
        <v>23</v>
      </c>
      <c r="B24" t="s">
        <v>144</v>
      </c>
      <c r="C24" s="4">
        <v>42713</v>
      </c>
      <c r="D24" s="4">
        <v>42717</v>
      </c>
      <c r="E24" t="s">
        <v>51</v>
      </c>
      <c r="F24" t="s">
        <v>146</v>
      </c>
      <c r="G24" t="s">
        <v>147</v>
      </c>
      <c r="H24" t="s">
        <v>41</v>
      </c>
      <c r="I24" t="s">
        <v>26</v>
      </c>
      <c r="J24" t="s">
        <v>148</v>
      </c>
      <c r="K24" t="s">
        <v>149</v>
      </c>
      <c r="L24" s="3">
        <v>68025</v>
      </c>
      <c r="M24" t="s">
        <v>111</v>
      </c>
      <c r="N24" t="s">
        <v>152</v>
      </c>
      <c r="O24" t="s">
        <v>46</v>
      </c>
      <c r="P24" t="s">
        <v>80</v>
      </c>
      <c r="Q24" t="s">
        <v>153</v>
      </c>
      <c r="R24" s="2">
        <v>60.34</v>
      </c>
      <c r="S24" s="3">
        <v>7</v>
      </c>
      <c r="T24" s="2">
        <v>0</v>
      </c>
      <c r="U24" s="2">
        <v>15.6884</v>
      </c>
      <c r="V24" s="7">
        <f t="shared" si="0"/>
        <v>0.25999999999999995</v>
      </c>
      <c r="W24" s="3">
        <f t="shared" si="1"/>
        <v>4</v>
      </c>
    </row>
    <row r="25" spans="1:23" x14ac:dyDescent="0.35">
      <c r="A25" s="3">
        <v>24</v>
      </c>
      <c r="B25" t="s">
        <v>154</v>
      </c>
      <c r="C25" s="4">
        <v>42932</v>
      </c>
      <c r="D25" s="4">
        <v>42934</v>
      </c>
      <c r="E25" t="s">
        <v>22</v>
      </c>
      <c r="F25" t="s">
        <v>157</v>
      </c>
      <c r="G25" t="s">
        <v>158</v>
      </c>
      <c r="H25" t="s">
        <v>25</v>
      </c>
      <c r="I25" t="s">
        <v>26</v>
      </c>
      <c r="J25" t="s">
        <v>159</v>
      </c>
      <c r="K25" t="s">
        <v>160</v>
      </c>
      <c r="L25" s="3">
        <v>19140</v>
      </c>
      <c r="M25" t="s">
        <v>161</v>
      </c>
      <c r="N25" t="s">
        <v>162</v>
      </c>
      <c r="O25" t="s">
        <v>31</v>
      </c>
      <c r="P25" t="s">
        <v>35</v>
      </c>
      <c r="Q25" t="s">
        <v>163</v>
      </c>
      <c r="R25" s="2">
        <v>71.372</v>
      </c>
      <c r="S25" s="3">
        <v>2</v>
      </c>
      <c r="T25" s="2">
        <v>0.3</v>
      </c>
      <c r="U25" s="2">
        <v>-1.0196000000000001</v>
      </c>
      <c r="V25" s="7">
        <f t="shared" si="0"/>
        <v>-1.4285714285714287E-2</v>
      </c>
      <c r="W25" s="3">
        <f t="shared" si="1"/>
        <v>2</v>
      </c>
    </row>
    <row r="26" spans="1:23" x14ac:dyDescent="0.35">
      <c r="A26" s="3">
        <v>25</v>
      </c>
      <c r="B26" t="s">
        <v>164</v>
      </c>
      <c r="C26" s="4">
        <v>42272</v>
      </c>
      <c r="D26" s="4">
        <v>42277</v>
      </c>
      <c r="E26" t="s">
        <v>51</v>
      </c>
      <c r="F26" t="s">
        <v>167</v>
      </c>
      <c r="G26" t="s">
        <v>168</v>
      </c>
      <c r="H26" t="s">
        <v>25</v>
      </c>
      <c r="I26" t="s">
        <v>26</v>
      </c>
      <c r="J26" t="s">
        <v>169</v>
      </c>
      <c r="K26" t="s">
        <v>130</v>
      </c>
      <c r="L26" s="3">
        <v>84057</v>
      </c>
      <c r="M26" t="s">
        <v>44</v>
      </c>
      <c r="N26" t="s">
        <v>56</v>
      </c>
      <c r="O26" t="s">
        <v>31</v>
      </c>
      <c r="P26" t="s">
        <v>57</v>
      </c>
      <c r="Q26" t="s">
        <v>58</v>
      </c>
      <c r="R26" s="2">
        <v>1044.6300000000001</v>
      </c>
      <c r="S26" s="3">
        <v>3</v>
      </c>
      <c r="T26" s="2">
        <v>0</v>
      </c>
      <c r="U26" s="2">
        <v>240.26490000000001</v>
      </c>
      <c r="V26" s="7">
        <f t="shared" si="0"/>
        <v>0.22999999999999998</v>
      </c>
      <c r="W26" s="3">
        <f t="shared" si="1"/>
        <v>5</v>
      </c>
    </row>
    <row r="27" spans="1:23" x14ac:dyDescent="0.35">
      <c r="A27" s="3">
        <v>26</v>
      </c>
      <c r="B27" t="s">
        <v>170</v>
      </c>
      <c r="C27" s="4">
        <v>42385</v>
      </c>
      <c r="D27" s="4">
        <v>42389</v>
      </c>
      <c r="E27" t="s">
        <v>22</v>
      </c>
      <c r="F27" t="s">
        <v>173</v>
      </c>
      <c r="G27" t="s">
        <v>174</v>
      </c>
      <c r="H27" t="s">
        <v>25</v>
      </c>
      <c r="I27" t="s">
        <v>26</v>
      </c>
      <c r="J27" t="s">
        <v>42</v>
      </c>
      <c r="K27" t="s">
        <v>43</v>
      </c>
      <c r="L27" s="3">
        <v>90049</v>
      </c>
      <c r="M27" t="s">
        <v>44</v>
      </c>
      <c r="N27" t="s">
        <v>175</v>
      </c>
      <c r="O27" t="s">
        <v>46</v>
      </c>
      <c r="P27" t="s">
        <v>77</v>
      </c>
      <c r="Q27" t="s">
        <v>176</v>
      </c>
      <c r="R27" s="2">
        <v>11.648</v>
      </c>
      <c r="S27" s="3">
        <v>2</v>
      </c>
      <c r="T27" s="2">
        <v>0.2</v>
      </c>
      <c r="U27" s="2">
        <v>4.2224000000000004</v>
      </c>
      <c r="V27" s="7">
        <f t="shared" si="0"/>
        <v>0.36250000000000004</v>
      </c>
      <c r="W27" s="3">
        <f t="shared" si="1"/>
        <v>4</v>
      </c>
    </row>
    <row r="28" spans="1:23" x14ac:dyDescent="0.35">
      <c r="A28" s="3">
        <v>27</v>
      </c>
      <c r="B28" t="s">
        <v>170</v>
      </c>
      <c r="C28" s="4">
        <v>42385</v>
      </c>
      <c r="D28" s="4">
        <v>42389</v>
      </c>
      <c r="E28" t="s">
        <v>22</v>
      </c>
      <c r="F28" t="s">
        <v>173</v>
      </c>
      <c r="G28" t="s">
        <v>174</v>
      </c>
      <c r="H28" t="s">
        <v>25</v>
      </c>
      <c r="I28" t="s">
        <v>26</v>
      </c>
      <c r="J28" t="s">
        <v>42</v>
      </c>
      <c r="K28" t="s">
        <v>43</v>
      </c>
      <c r="L28" s="3">
        <v>90049</v>
      </c>
      <c r="M28" t="s">
        <v>44</v>
      </c>
      <c r="N28" t="s">
        <v>177</v>
      </c>
      <c r="O28" t="s">
        <v>73</v>
      </c>
      <c r="P28" t="s">
        <v>178</v>
      </c>
      <c r="Q28" t="s">
        <v>179</v>
      </c>
      <c r="R28" s="2">
        <v>90.57</v>
      </c>
      <c r="S28" s="3">
        <v>3</v>
      </c>
      <c r="T28" s="2">
        <v>0</v>
      </c>
      <c r="U28" s="2">
        <v>11.774100000000001</v>
      </c>
      <c r="V28" s="7">
        <f t="shared" si="0"/>
        <v>0.13</v>
      </c>
      <c r="W28" s="3">
        <f t="shared" si="1"/>
        <v>4</v>
      </c>
    </row>
    <row r="29" spans="1:23" x14ac:dyDescent="0.35">
      <c r="A29" s="3">
        <v>28</v>
      </c>
      <c r="B29" t="s">
        <v>180</v>
      </c>
      <c r="C29" s="4">
        <v>42264</v>
      </c>
      <c r="D29" s="4">
        <v>42268</v>
      </c>
      <c r="E29" t="s">
        <v>51</v>
      </c>
      <c r="F29" t="s">
        <v>183</v>
      </c>
      <c r="G29" t="s">
        <v>184</v>
      </c>
      <c r="H29" t="s">
        <v>25</v>
      </c>
      <c r="I29" t="s">
        <v>26</v>
      </c>
      <c r="J29" t="s">
        <v>159</v>
      </c>
      <c r="K29" t="s">
        <v>160</v>
      </c>
      <c r="L29" s="3">
        <v>19140</v>
      </c>
      <c r="M29" t="s">
        <v>161</v>
      </c>
      <c r="N29" t="s">
        <v>185</v>
      </c>
      <c r="O29" t="s">
        <v>31</v>
      </c>
      <c r="P29" t="s">
        <v>32</v>
      </c>
      <c r="Q29" t="s">
        <v>186</v>
      </c>
      <c r="R29" s="2">
        <v>3083.43</v>
      </c>
      <c r="S29" s="3">
        <v>7</v>
      </c>
      <c r="T29" s="2">
        <v>0.5</v>
      </c>
      <c r="U29" s="2">
        <v>-1665.0522000000001</v>
      </c>
      <c r="V29" s="7">
        <f t="shared" si="0"/>
        <v>-0.54</v>
      </c>
      <c r="W29" s="3">
        <f t="shared" si="1"/>
        <v>4</v>
      </c>
    </row>
    <row r="30" spans="1:23" x14ac:dyDescent="0.35">
      <c r="A30" s="3">
        <v>29</v>
      </c>
      <c r="B30" t="s">
        <v>180</v>
      </c>
      <c r="C30" s="4">
        <v>42264</v>
      </c>
      <c r="D30" s="4">
        <v>42268</v>
      </c>
      <c r="E30" t="s">
        <v>51</v>
      </c>
      <c r="F30" t="s">
        <v>183</v>
      </c>
      <c r="G30" t="s">
        <v>184</v>
      </c>
      <c r="H30" t="s">
        <v>25</v>
      </c>
      <c r="I30" t="s">
        <v>26</v>
      </c>
      <c r="J30" t="s">
        <v>159</v>
      </c>
      <c r="K30" t="s">
        <v>160</v>
      </c>
      <c r="L30" s="3">
        <v>19140</v>
      </c>
      <c r="M30" t="s">
        <v>161</v>
      </c>
      <c r="N30" t="s">
        <v>187</v>
      </c>
      <c r="O30" t="s">
        <v>46</v>
      </c>
      <c r="P30" t="s">
        <v>77</v>
      </c>
      <c r="Q30" t="s">
        <v>188</v>
      </c>
      <c r="R30" s="2">
        <v>9.6180000000000003</v>
      </c>
      <c r="S30" s="3">
        <v>2</v>
      </c>
      <c r="T30" s="2">
        <v>0.7</v>
      </c>
      <c r="U30" s="2">
        <v>-7.0532000000000004</v>
      </c>
      <c r="V30" s="7">
        <f t="shared" si="0"/>
        <v>-0.73333333333333339</v>
      </c>
      <c r="W30" s="3">
        <f t="shared" si="1"/>
        <v>4</v>
      </c>
    </row>
    <row r="31" spans="1:23" x14ac:dyDescent="0.35">
      <c r="A31" s="3">
        <v>30</v>
      </c>
      <c r="B31" t="s">
        <v>180</v>
      </c>
      <c r="C31" s="4">
        <v>42264</v>
      </c>
      <c r="D31" s="4">
        <v>42268</v>
      </c>
      <c r="E31" t="s">
        <v>51</v>
      </c>
      <c r="F31" t="s">
        <v>183</v>
      </c>
      <c r="G31" t="s">
        <v>184</v>
      </c>
      <c r="H31" t="s">
        <v>25</v>
      </c>
      <c r="I31" t="s">
        <v>26</v>
      </c>
      <c r="J31" t="s">
        <v>159</v>
      </c>
      <c r="K31" t="s">
        <v>160</v>
      </c>
      <c r="L31" s="3">
        <v>19140</v>
      </c>
      <c r="M31" t="s">
        <v>161</v>
      </c>
      <c r="N31" t="s">
        <v>189</v>
      </c>
      <c r="O31" t="s">
        <v>31</v>
      </c>
      <c r="P31" t="s">
        <v>67</v>
      </c>
      <c r="Q31" t="s">
        <v>190</v>
      </c>
      <c r="R31" s="2">
        <v>124.2</v>
      </c>
      <c r="S31" s="3">
        <v>3</v>
      </c>
      <c r="T31" s="2">
        <v>0.2</v>
      </c>
      <c r="U31" s="2">
        <v>15.525</v>
      </c>
      <c r="V31" s="7">
        <f t="shared" si="0"/>
        <v>0.125</v>
      </c>
      <c r="W31" s="3">
        <f t="shared" si="1"/>
        <v>4</v>
      </c>
    </row>
    <row r="32" spans="1:23" x14ac:dyDescent="0.35">
      <c r="A32" s="3">
        <v>31</v>
      </c>
      <c r="B32" t="s">
        <v>180</v>
      </c>
      <c r="C32" s="4">
        <v>42264</v>
      </c>
      <c r="D32" s="4">
        <v>42268</v>
      </c>
      <c r="E32" t="s">
        <v>51</v>
      </c>
      <c r="F32" t="s">
        <v>183</v>
      </c>
      <c r="G32" t="s">
        <v>184</v>
      </c>
      <c r="H32" t="s">
        <v>25</v>
      </c>
      <c r="I32" t="s">
        <v>26</v>
      </c>
      <c r="J32" t="s">
        <v>159</v>
      </c>
      <c r="K32" t="s">
        <v>160</v>
      </c>
      <c r="L32" s="3">
        <v>19140</v>
      </c>
      <c r="M32" t="s">
        <v>161</v>
      </c>
      <c r="N32" t="s">
        <v>191</v>
      </c>
      <c r="O32" t="s">
        <v>46</v>
      </c>
      <c r="P32" t="s">
        <v>192</v>
      </c>
      <c r="Q32" t="s">
        <v>193</v>
      </c>
      <c r="R32" s="2">
        <v>3.2639999999999998</v>
      </c>
      <c r="S32" s="3">
        <v>2</v>
      </c>
      <c r="T32" s="2">
        <v>0.2</v>
      </c>
      <c r="U32" s="2">
        <v>1.1015999999999999</v>
      </c>
      <c r="V32" s="7">
        <f t="shared" si="0"/>
        <v>0.33750000000000002</v>
      </c>
      <c r="W32" s="3">
        <f t="shared" si="1"/>
        <v>4</v>
      </c>
    </row>
    <row r="33" spans="1:23" x14ac:dyDescent="0.35">
      <c r="A33" s="3">
        <v>32</v>
      </c>
      <c r="B33" t="s">
        <v>180</v>
      </c>
      <c r="C33" s="4">
        <v>42264</v>
      </c>
      <c r="D33" s="4">
        <v>42268</v>
      </c>
      <c r="E33" t="s">
        <v>51</v>
      </c>
      <c r="F33" t="s">
        <v>183</v>
      </c>
      <c r="G33" t="s">
        <v>184</v>
      </c>
      <c r="H33" t="s">
        <v>25</v>
      </c>
      <c r="I33" t="s">
        <v>26</v>
      </c>
      <c r="J33" t="s">
        <v>159</v>
      </c>
      <c r="K33" t="s">
        <v>160</v>
      </c>
      <c r="L33" s="3">
        <v>19140</v>
      </c>
      <c r="M33" t="s">
        <v>161</v>
      </c>
      <c r="N33" t="s">
        <v>194</v>
      </c>
      <c r="O33" t="s">
        <v>46</v>
      </c>
      <c r="P33" t="s">
        <v>70</v>
      </c>
      <c r="Q33" t="s">
        <v>195</v>
      </c>
      <c r="R33" s="2">
        <v>86.304000000000002</v>
      </c>
      <c r="S33" s="3">
        <v>6</v>
      </c>
      <c r="T33" s="2">
        <v>0.2</v>
      </c>
      <c r="U33" s="2">
        <v>9.7091999999999992</v>
      </c>
      <c r="V33" s="7">
        <f t="shared" si="0"/>
        <v>0.11249999999999999</v>
      </c>
      <c r="W33" s="3">
        <f t="shared" si="1"/>
        <v>4</v>
      </c>
    </row>
    <row r="34" spans="1:23" x14ac:dyDescent="0.35">
      <c r="A34" s="3">
        <v>33</v>
      </c>
      <c r="B34" t="s">
        <v>180</v>
      </c>
      <c r="C34" s="4">
        <v>42264</v>
      </c>
      <c r="D34" s="4">
        <v>42268</v>
      </c>
      <c r="E34" t="s">
        <v>51</v>
      </c>
      <c r="F34" t="s">
        <v>183</v>
      </c>
      <c r="G34" t="s">
        <v>184</v>
      </c>
      <c r="H34" t="s">
        <v>25</v>
      </c>
      <c r="I34" t="s">
        <v>26</v>
      </c>
      <c r="J34" t="s">
        <v>159</v>
      </c>
      <c r="K34" t="s">
        <v>160</v>
      </c>
      <c r="L34" s="3">
        <v>19140</v>
      </c>
      <c r="M34" t="s">
        <v>161</v>
      </c>
      <c r="N34" t="s">
        <v>196</v>
      </c>
      <c r="O34" t="s">
        <v>46</v>
      </c>
      <c r="P34" t="s">
        <v>77</v>
      </c>
      <c r="Q34" t="s">
        <v>197</v>
      </c>
      <c r="R34" s="2">
        <v>6.8579999999999997</v>
      </c>
      <c r="S34" s="3">
        <v>6</v>
      </c>
      <c r="T34" s="2">
        <v>0.7</v>
      </c>
      <c r="U34" s="2">
        <v>-5.7149999999999999</v>
      </c>
      <c r="V34" s="7">
        <f t="shared" si="0"/>
        <v>-0.83333333333333337</v>
      </c>
      <c r="W34" s="3">
        <f t="shared" si="1"/>
        <v>4</v>
      </c>
    </row>
    <row r="35" spans="1:23" x14ac:dyDescent="0.35">
      <c r="A35" s="3">
        <v>34</v>
      </c>
      <c r="B35" t="s">
        <v>180</v>
      </c>
      <c r="C35" s="4">
        <v>42264</v>
      </c>
      <c r="D35" s="4">
        <v>42268</v>
      </c>
      <c r="E35" t="s">
        <v>51</v>
      </c>
      <c r="F35" t="s">
        <v>183</v>
      </c>
      <c r="G35" t="s">
        <v>184</v>
      </c>
      <c r="H35" t="s">
        <v>25</v>
      </c>
      <c r="I35" t="s">
        <v>26</v>
      </c>
      <c r="J35" t="s">
        <v>159</v>
      </c>
      <c r="K35" t="s">
        <v>160</v>
      </c>
      <c r="L35" s="3">
        <v>19140</v>
      </c>
      <c r="M35" t="s">
        <v>161</v>
      </c>
      <c r="N35" t="s">
        <v>198</v>
      </c>
      <c r="O35" t="s">
        <v>46</v>
      </c>
      <c r="P35" t="s">
        <v>70</v>
      </c>
      <c r="Q35" t="s">
        <v>199</v>
      </c>
      <c r="R35" s="2">
        <v>15.76</v>
      </c>
      <c r="S35" s="3">
        <v>2</v>
      </c>
      <c r="T35" s="2">
        <v>0.2</v>
      </c>
      <c r="U35" s="2">
        <v>3.5459999999999998</v>
      </c>
      <c r="V35" s="7">
        <f t="shared" si="0"/>
        <v>0.22499999999999998</v>
      </c>
      <c r="W35" s="3">
        <f t="shared" si="1"/>
        <v>4</v>
      </c>
    </row>
    <row r="36" spans="1:23" x14ac:dyDescent="0.35">
      <c r="A36" s="3">
        <v>35</v>
      </c>
      <c r="B36" t="s">
        <v>200</v>
      </c>
      <c r="C36" s="4">
        <v>43027</v>
      </c>
      <c r="D36" s="4">
        <v>43031</v>
      </c>
      <c r="E36" t="s">
        <v>22</v>
      </c>
      <c r="F36" t="s">
        <v>203</v>
      </c>
      <c r="G36" t="s">
        <v>204</v>
      </c>
      <c r="H36" t="s">
        <v>108</v>
      </c>
      <c r="I36" t="s">
        <v>26</v>
      </c>
      <c r="J36" t="s">
        <v>205</v>
      </c>
      <c r="K36" t="s">
        <v>110</v>
      </c>
      <c r="L36" s="3">
        <v>77095</v>
      </c>
      <c r="M36" t="s">
        <v>111</v>
      </c>
      <c r="N36" t="s">
        <v>206</v>
      </c>
      <c r="O36" t="s">
        <v>46</v>
      </c>
      <c r="P36" t="s">
        <v>94</v>
      </c>
      <c r="Q36" t="s">
        <v>207</v>
      </c>
      <c r="R36" s="2">
        <v>29.472000000000001</v>
      </c>
      <c r="S36" s="3">
        <v>3</v>
      </c>
      <c r="T36" s="2">
        <v>0.2</v>
      </c>
      <c r="U36" s="2">
        <v>9.9467999999999996</v>
      </c>
      <c r="V36" s="7">
        <f t="shared" si="0"/>
        <v>0.33749999999999997</v>
      </c>
      <c r="W36" s="3">
        <f t="shared" si="1"/>
        <v>4</v>
      </c>
    </row>
    <row r="37" spans="1:23" x14ac:dyDescent="0.35">
      <c r="A37" s="3">
        <v>36</v>
      </c>
      <c r="B37" t="s">
        <v>208</v>
      </c>
      <c r="C37" s="4">
        <v>42712</v>
      </c>
      <c r="D37" s="4">
        <v>42714</v>
      </c>
      <c r="E37" t="s">
        <v>209</v>
      </c>
      <c r="F37" t="s">
        <v>210</v>
      </c>
      <c r="G37" t="s">
        <v>211</v>
      </c>
      <c r="H37" t="s">
        <v>41</v>
      </c>
      <c r="I37" t="s">
        <v>26</v>
      </c>
      <c r="J37" t="s">
        <v>212</v>
      </c>
      <c r="K37" t="s">
        <v>110</v>
      </c>
      <c r="L37" s="3">
        <v>75080</v>
      </c>
      <c r="M37" t="s">
        <v>111</v>
      </c>
      <c r="N37" t="s">
        <v>213</v>
      </c>
      <c r="O37" t="s">
        <v>73</v>
      </c>
      <c r="P37" t="s">
        <v>74</v>
      </c>
      <c r="Q37" t="s">
        <v>214</v>
      </c>
      <c r="R37" s="2">
        <v>1097.5440000000001</v>
      </c>
      <c r="S37" s="3">
        <v>7</v>
      </c>
      <c r="T37" s="2">
        <v>0.2</v>
      </c>
      <c r="U37" s="2">
        <v>123.47369999999999</v>
      </c>
      <c r="V37" s="7">
        <f t="shared" si="0"/>
        <v>0.11249999999999999</v>
      </c>
      <c r="W37" s="3">
        <f t="shared" si="1"/>
        <v>2</v>
      </c>
    </row>
    <row r="38" spans="1:23" x14ac:dyDescent="0.35">
      <c r="A38" s="3">
        <v>37</v>
      </c>
      <c r="B38" t="s">
        <v>208</v>
      </c>
      <c r="C38" s="4">
        <v>42712</v>
      </c>
      <c r="D38" s="4">
        <v>42714</v>
      </c>
      <c r="E38" t="s">
        <v>209</v>
      </c>
      <c r="F38" t="s">
        <v>210</v>
      </c>
      <c r="G38" t="s">
        <v>211</v>
      </c>
      <c r="H38" t="s">
        <v>41</v>
      </c>
      <c r="I38" t="s">
        <v>26</v>
      </c>
      <c r="J38" t="s">
        <v>212</v>
      </c>
      <c r="K38" t="s">
        <v>110</v>
      </c>
      <c r="L38" s="3">
        <v>75080</v>
      </c>
      <c r="M38" t="s">
        <v>111</v>
      </c>
      <c r="N38" t="s">
        <v>215</v>
      </c>
      <c r="O38" t="s">
        <v>31</v>
      </c>
      <c r="P38" t="s">
        <v>67</v>
      </c>
      <c r="Q38" t="s">
        <v>216</v>
      </c>
      <c r="R38" s="2">
        <v>190.92</v>
      </c>
      <c r="S38" s="3">
        <v>5</v>
      </c>
      <c r="T38" s="2">
        <v>0.6</v>
      </c>
      <c r="U38" s="2">
        <v>-147.96299999999999</v>
      </c>
      <c r="V38" s="7">
        <f t="shared" si="0"/>
        <v>-0.77500000000000002</v>
      </c>
      <c r="W38" s="3">
        <f t="shared" si="1"/>
        <v>2</v>
      </c>
    </row>
    <row r="39" spans="1:23" x14ac:dyDescent="0.35">
      <c r="A39" s="3">
        <v>38</v>
      </c>
      <c r="B39" t="s">
        <v>217</v>
      </c>
      <c r="C39" s="4">
        <v>42365</v>
      </c>
      <c r="D39" s="4">
        <v>42369</v>
      </c>
      <c r="E39" t="s">
        <v>51</v>
      </c>
      <c r="F39" t="s">
        <v>220</v>
      </c>
      <c r="G39" t="s">
        <v>221</v>
      </c>
      <c r="H39" t="s">
        <v>108</v>
      </c>
      <c r="I39" t="s">
        <v>26</v>
      </c>
      <c r="J39" t="s">
        <v>205</v>
      </c>
      <c r="K39" t="s">
        <v>110</v>
      </c>
      <c r="L39" s="3">
        <v>77041</v>
      </c>
      <c r="M39" t="s">
        <v>111</v>
      </c>
      <c r="N39" t="s">
        <v>222</v>
      </c>
      <c r="O39" t="s">
        <v>46</v>
      </c>
      <c r="P39" t="s">
        <v>192</v>
      </c>
      <c r="Q39" t="s">
        <v>223</v>
      </c>
      <c r="R39" s="2">
        <v>113.328</v>
      </c>
      <c r="S39" s="3">
        <v>9</v>
      </c>
      <c r="T39" s="2">
        <v>0.2</v>
      </c>
      <c r="U39" s="2">
        <v>35.414999999999999</v>
      </c>
      <c r="V39" s="7">
        <f t="shared" si="0"/>
        <v>0.3125</v>
      </c>
      <c r="W39" s="3">
        <f t="shared" si="1"/>
        <v>4</v>
      </c>
    </row>
    <row r="40" spans="1:23" x14ac:dyDescent="0.35">
      <c r="A40" s="3">
        <v>39</v>
      </c>
      <c r="B40" t="s">
        <v>217</v>
      </c>
      <c r="C40" s="4">
        <v>42365</v>
      </c>
      <c r="D40" s="4">
        <v>42369</v>
      </c>
      <c r="E40" t="s">
        <v>51</v>
      </c>
      <c r="F40" t="s">
        <v>220</v>
      </c>
      <c r="G40" t="s">
        <v>221</v>
      </c>
      <c r="H40" t="s">
        <v>108</v>
      </c>
      <c r="I40" t="s">
        <v>26</v>
      </c>
      <c r="J40" t="s">
        <v>205</v>
      </c>
      <c r="K40" t="s">
        <v>110</v>
      </c>
      <c r="L40" s="3">
        <v>77041</v>
      </c>
      <c r="M40" t="s">
        <v>111</v>
      </c>
      <c r="N40" t="s">
        <v>224</v>
      </c>
      <c r="O40" t="s">
        <v>31</v>
      </c>
      <c r="P40" t="s">
        <v>32</v>
      </c>
      <c r="Q40" t="s">
        <v>225</v>
      </c>
      <c r="R40" s="2">
        <v>532.39919999999995</v>
      </c>
      <c r="S40" s="3">
        <v>3</v>
      </c>
      <c r="T40" s="2">
        <v>0.32</v>
      </c>
      <c r="U40" s="2">
        <v>-46.976399999999998</v>
      </c>
      <c r="V40" s="7">
        <f t="shared" si="0"/>
        <v>-8.8235294117647065E-2</v>
      </c>
      <c r="W40" s="3">
        <f t="shared" si="1"/>
        <v>4</v>
      </c>
    </row>
    <row r="41" spans="1:23" x14ac:dyDescent="0.35">
      <c r="A41" s="3">
        <v>40</v>
      </c>
      <c r="B41" t="s">
        <v>217</v>
      </c>
      <c r="C41" s="4">
        <v>42365</v>
      </c>
      <c r="D41" s="4">
        <v>42369</v>
      </c>
      <c r="E41" t="s">
        <v>51</v>
      </c>
      <c r="F41" t="s">
        <v>220</v>
      </c>
      <c r="G41" t="s">
        <v>221</v>
      </c>
      <c r="H41" t="s">
        <v>108</v>
      </c>
      <c r="I41" t="s">
        <v>26</v>
      </c>
      <c r="J41" t="s">
        <v>205</v>
      </c>
      <c r="K41" t="s">
        <v>110</v>
      </c>
      <c r="L41" s="3">
        <v>77041</v>
      </c>
      <c r="M41" t="s">
        <v>111</v>
      </c>
      <c r="N41" t="s">
        <v>226</v>
      </c>
      <c r="O41" t="s">
        <v>31</v>
      </c>
      <c r="P41" t="s">
        <v>35</v>
      </c>
      <c r="Q41" t="s">
        <v>227</v>
      </c>
      <c r="R41" s="2">
        <v>212.05799999999999</v>
      </c>
      <c r="S41" s="3">
        <v>3</v>
      </c>
      <c r="T41" s="2">
        <v>0.3</v>
      </c>
      <c r="U41" s="2">
        <v>-15.147</v>
      </c>
      <c r="V41" s="7">
        <f t="shared" si="0"/>
        <v>-7.1428571428571438E-2</v>
      </c>
      <c r="W41" s="3">
        <f t="shared" si="1"/>
        <v>4</v>
      </c>
    </row>
    <row r="42" spans="1:23" x14ac:dyDescent="0.35">
      <c r="A42" s="3">
        <v>41</v>
      </c>
      <c r="B42" t="s">
        <v>217</v>
      </c>
      <c r="C42" s="4">
        <v>42365</v>
      </c>
      <c r="D42" s="4">
        <v>42369</v>
      </c>
      <c r="E42" t="s">
        <v>51</v>
      </c>
      <c r="F42" t="s">
        <v>220</v>
      </c>
      <c r="G42" t="s">
        <v>221</v>
      </c>
      <c r="H42" t="s">
        <v>108</v>
      </c>
      <c r="I42" t="s">
        <v>26</v>
      </c>
      <c r="J42" t="s">
        <v>205</v>
      </c>
      <c r="K42" t="s">
        <v>110</v>
      </c>
      <c r="L42" s="3">
        <v>77041</v>
      </c>
      <c r="M42" t="s">
        <v>111</v>
      </c>
      <c r="N42" t="s">
        <v>228</v>
      </c>
      <c r="O42" t="s">
        <v>73</v>
      </c>
      <c r="P42" t="s">
        <v>74</v>
      </c>
      <c r="Q42" t="s">
        <v>229</v>
      </c>
      <c r="R42" s="2">
        <v>371.16800000000001</v>
      </c>
      <c r="S42" s="3">
        <v>4</v>
      </c>
      <c r="T42" s="2">
        <v>0.2</v>
      </c>
      <c r="U42" s="2">
        <v>41.756399999999999</v>
      </c>
      <c r="V42" s="7">
        <f t="shared" si="0"/>
        <v>0.1125</v>
      </c>
      <c r="W42" s="3">
        <f t="shared" si="1"/>
        <v>4</v>
      </c>
    </row>
    <row r="43" spans="1:23" x14ac:dyDescent="0.35">
      <c r="A43" s="3">
        <v>42</v>
      </c>
      <c r="B43" t="s">
        <v>230</v>
      </c>
      <c r="C43" s="4">
        <v>42988</v>
      </c>
      <c r="D43" s="4">
        <v>42993</v>
      </c>
      <c r="E43" t="s">
        <v>51</v>
      </c>
      <c r="F43" t="s">
        <v>232</v>
      </c>
      <c r="G43" t="s">
        <v>233</v>
      </c>
      <c r="H43" t="s">
        <v>41</v>
      </c>
      <c r="I43" t="s">
        <v>26</v>
      </c>
      <c r="J43" t="s">
        <v>234</v>
      </c>
      <c r="K43" t="s">
        <v>235</v>
      </c>
      <c r="L43" s="3">
        <v>60540</v>
      </c>
      <c r="M43" t="s">
        <v>111</v>
      </c>
      <c r="N43" t="s">
        <v>236</v>
      </c>
      <c r="O43" t="s">
        <v>73</v>
      </c>
      <c r="P43" t="s">
        <v>74</v>
      </c>
      <c r="Q43" t="s">
        <v>237</v>
      </c>
      <c r="R43" s="2">
        <v>147.16800000000001</v>
      </c>
      <c r="S43" s="3">
        <v>4</v>
      </c>
      <c r="T43" s="2">
        <v>0.2</v>
      </c>
      <c r="U43" s="2">
        <v>16.5564</v>
      </c>
      <c r="V43" s="7">
        <f t="shared" si="0"/>
        <v>0.11249999999999999</v>
      </c>
      <c r="W43" s="3">
        <f t="shared" si="1"/>
        <v>5</v>
      </c>
    </row>
    <row r="44" spans="1:23" x14ac:dyDescent="0.35">
      <c r="A44" s="3">
        <v>43</v>
      </c>
      <c r="B44" t="s">
        <v>238</v>
      </c>
      <c r="C44" s="4">
        <v>42568</v>
      </c>
      <c r="D44" s="4">
        <v>42573</v>
      </c>
      <c r="E44" t="s">
        <v>51</v>
      </c>
      <c r="F44" t="s">
        <v>241</v>
      </c>
      <c r="G44" t="s">
        <v>242</v>
      </c>
      <c r="H44" t="s">
        <v>41</v>
      </c>
      <c r="I44" t="s">
        <v>26</v>
      </c>
      <c r="J44" t="s">
        <v>42</v>
      </c>
      <c r="K44" t="s">
        <v>43</v>
      </c>
      <c r="L44" s="3">
        <v>90049</v>
      </c>
      <c r="M44" t="s">
        <v>44</v>
      </c>
      <c r="N44" t="s">
        <v>243</v>
      </c>
      <c r="O44" t="s">
        <v>46</v>
      </c>
      <c r="P44" t="s">
        <v>60</v>
      </c>
      <c r="Q44" t="s">
        <v>244</v>
      </c>
      <c r="R44" s="2">
        <v>77.88</v>
      </c>
      <c r="S44" s="3">
        <v>2</v>
      </c>
      <c r="T44" s="2">
        <v>0</v>
      </c>
      <c r="U44" s="2">
        <v>3.8940000000000001</v>
      </c>
      <c r="V44" s="7">
        <f t="shared" si="0"/>
        <v>0.05</v>
      </c>
      <c r="W44" s="3">
        <f t="shared" si="1"/>
        <v>5</v>
      </c>
    </row>
    <row r="45" spans="1:23" x14ac:dyDescent="0.35">
      <c r="A45" s="3">
        <v>44</v>
      </c>
      <c r="B45" t="s">
        <v>245</v>
      </c>
      <c r="C45" s="4">
        <v>42997</v>
      </c>
      <c r="D45" s="4">
        <v>43001</v>
      </c>
      <c r="E45" t="s">
        <v>51</v>
      </c>
      <c r="F45" t="s">
        <v>248</v>
      </c>
      <c r="G45" t="s">
        <v>249</v>
      </c>
      <c r="H45" t="s">
        <v>41</v>
      </c>
      <c r="I45" t="s">
        <v>26</v>
      </c>
      <c r="J45" t="s">
        <v>250</v>
      </c>
      <c r="K45" t="s">
        <v>55</v>
      </c>
      <c r="L45" s="3">
        <v>32935</v>
      </c>
      <c r="M45" t="s">
        <v>29</v>
      </c>
      <c r="N45" t="s">
        <v>251</v>
      </c>
      <c r="O45" t="s">
        <v>46</v>
      </c>
      <c r="P45" t="s">
        <v>60</v>
      </c>
      <c r="Q45" t="s">
        <v>252</v>
      </c>
      <c r="R45" s="2">
        <v>95.616</v>
      </c>
      <c r="S45" s="3">
        <v>2</v>
      </c>
      <c r="T45" s="2">
        <v>0.2</v>
      </c>
      <c r="U45" s="2">
        <v>9.5616000000000003</v>
      </c>
      <c r="V45" s="7">
        <f t="shared" si="0"/>
        <v>0.1</v>
      </c>
      <c r="W45" s="3">
        <f t="shared" si="1"/>
        <v>4</v>
      </c>
    </row>
    <row r="46" spans="1:23" x14ac:dyDescent="0.35">
      <c r="A46" s="3">
        <v>45</v>
      </c>
      <c r="B46" t="s">
        <v>253</v>
      </c>
      <c r="C46" s="4">
        <v>42440</v>
      </c>
      <c r="D46" s="4">
        <v>42442</v>
      </c>
      <c r="E46" t="s">
        <v>209</v>
      </c>
      <c r="F46" t="s">
        <v>255</v>
      </c>
      <c r="G46" t="s">
        <v>256</v>
      </c>
      <c r="H46" t="s">
        <v>41</v>
      </c>
      <c r="I46" t="s">
        <v>26</v>
      </c>
      <c r="J46" t="s">
        <v>257</v>
      </c>
      <c r="K46" t="s">
        <v>258</v>
      </c>
      <c r="L46" s="3">
        <v>55122</v>
      </c>
      <c r="M46" t="s">
        <v>111</v>
      </c>
      <c r="N46" t="s">
        <v>259</v>
      </c>
      <c r="O46" t="s">
        <v>73</v>
      </c>
      <c r="P46" t="s">
        <v>178</v>
      </c>
      <c r="Q46" t="s">
        <v>260</v>
      </c>
      <c r="R46" s="2">
        <v>45.98</v>
      </c>
      <c r="S46" s="3">
        <v>2</v>
      </c>
      <c r="T46" s="2">
        <v>0</v>
      </c>
      <c r="U46" s="2">
        <v>19.7714</v>
      </c>
      <c r="V46" s="7">
        <f t="shared" si="0"/>
        <v>0.43000000000000005</v>
      </c>
      <c r="W46" s="3">
        <f t="shared" si="1"/>
        <v>2</v>
      </c>
    </row>
    <row r="47" spans="1:23" x14ac:dyDescent="0.35">
      <c r="A47" s="3">
        <v>46</v>
      </c>
      <c r="B47" t="s">
        <v>253</v>
      </c>
      <c r="C47" s="4">
        <v>42440</v>
      </c>
      <c r="D47" s="4">
        <v>42442</v>
      </c>
      <c r="E47" t="s">
        <v>209</v>
      </c>
      <c r="F47" t="s">
        <v>255</v>
      </c>
      <c r="G47" t="s">
        <v>256</v>
      </c>
      <c r="H47" t="s">
        <v>41</v>
      </c>
      <c r="I47" t="s">
        <v>26</v>
      </c>
      <c r="J47" t="s">
        <v>257</v>
      </c>
      <c r="K47" t="s">
        <v>258</v>
      </c>
      <c r="L47" s="3">
        <v>55122</v>
      </c>
      <c r="M47" t="s">
        <v>111</v>
      </c>
      <c r="N47" t="s">
        <v>261</v>
      </c>
      <c r="O47" t="s">
        <v>46</v>
      </c>
      <c r="P47" t="s">
        <v>77</v>
      </c>
      <c r="Q47" t="s">
        <v>262</v>
      </c>
      <c r="R47" s="2">
        <v>17.46</v>
      </c>
      <c r="S47" s="3">
        <v>2</v>
      </c>
      <c r="T47" s="2">
        <v>0</v>
      </c>
      <c r="U47" s="2">
        <v>8.2062000000000008</v>
      </c>
      <c r="V47" s="7">
        <f t="shared" si="0"/>
        <v>0.47000000000000003</v>
      </c>
      <c r="W47" s="3">
        <f t="shared" si="1"/>
        <v>2</v>
      </c>
    </row>
    <row r="48" spans="1:23" x14ac:dyDescent="0.35">
      <c r="A48" s="3">
        <v>47</v>
      </c>
      <c r="B48" t="s">
        <v>263</v>
      </c>
      <c r="C48" s="4">
        <v>41932</v>
      </c>
      <c r="D48" s="4">
        <v>41937</v>
      </c>
      <c r="E48" t="s">
        <v>22</v>
      </c>
      <c r="F48" t="s">
        <v>266</v>
      </c>
      <c r="G48" t="s">
        <v>267</v>
      </c>
      <c r="H48" t="s">
        <v>25</v>
      </c>
      <c r="I48" t="s">
        <v>26</v>
      </c>
      <c r="J48" t="s">
        <v>268</v>
      </c>
      <c r="K48" t="s">
        <v>269</v>
      </c>
      <c r="L48" s="3">
        <v>48185</v>
      </c>
      <c r="M48" t="s">
        <v>111</v>
      </c>
      <c r="N48" t="s">
        <v>270</v>
      </c>
      <c r="O48" t="s">
        <v>46</v>
      </c>
      <c r="P48" t="s">
        <v>60</v>
      </c>
      <c r="Q48" t="s">
        <v>271</v>
      </c>
      <c r="R48" s="2">
        <v>211.96</v>
      </c>
      <c r="S48" s="3">
        <v>4</v>
      </c>
      <c r="T48" s="2">
        <v>0</v>
      </c>
      <c r="U48" s="2">
        <v>8.4784000000000006</v>
      </c>
      <c r="V48" s="7">
        <f t="shared" si="0"/>
        <v>0.04</v>
      </c>
      <c r="W48" s="3">
        <f t="shared" si="1"/>
        <v>5</v>
      </c>
    </row>
    <row r="49" spans="1:23" x14ac:dyDescent="0.35">
      <c r="A49" s="3">
        <v>48</v>
      </c>
      <c r="B49" t="s">
        <v>272</v>
      </c>
      <c r="C49" s="4">
        <v>42541</v>
      </c>
      <c r="D49" s="4">
        <v>42546</v>
      </c>
      <c r="E49" t="s">
        <v>51</v>
      </c>
      <c r="F49" t="s">
        <v>275</v>
      </c>
      <c r="G49" t="s">
        <v>276</v>
      </c>
      <c r="H49" t="s">
        <v>25</v>
      </c>
      <c r="I49" t="s">
        <v>26</v>
      </c>
      <c r="J49" t="s">
        <v>277</v>
      </c>
      <c r="K49" t="s">
        <v>278</v>
      </c>
      <c r="L49" s="3">
        <v>19901</v>
      </c>
      <c r="M49" t="s">
        <v>161</v>
      </c>
      <c r="N49" t="s">
        <v>279</v>
      </c>
      <c r="O49" t="s">
        <v>73</v>
      </c>
      <c r="P49" t="s">
        <v>178</v>
      </c>
      <c r="Q49" t="s">
        <v>280</v>
      </c>
      <c r="R49" s="2">
        <v>45</v>
      </c>
      <c r="S49" s="3">
        <v>3</v>
      </c>
      <c r="T49" s="2">
        <v>0</v>
      </c>
      <c r="U49" s="2">
        <v>4.95</v>
      </c>
      <c r="V49" s="7">
        <f t="shared" si="0"/>
        <v>0.11</v>
      </c>
      <c r="W49" s="3">
        <f t="shared" si="1"/>
        <v>5</v>
      </c>
    </row>
    <row r="50" spans="1:23" x14ac:dyDescent="0.35">
      <c r="A50" s="3">
        <v>49</v>
      </c>
      <c r="B50" t="s">
        <v>272</v>
      </c>
      <c r="C50" s="4">
        <v>42541</v>
      </c>
      <c r="D50" s="4">
        <v>42546</v>
      </c>
      <c r="E50" t="s">
        <v>51</v>
      </c>
      <c r="F50" t="s">
        <v>275</v>
      </c>
      <c r="G50" t="s">
        <v>276</v>
      </c>
      <c r="H50" t="s">
        <v>25</v>
      </c>
      <c r="I50" t="s">
        <v>26</v>
      </c>
      <c r="J50" t="s">
        <v>277</v>
      </c>
      <c r="K50" t="s">
        <v>278</v>
      </c>
      <c r="L50" s="3">
        <v>19901</v>
      </c>
      <c r="M50" t="s">
        <v>161</v>
      </c>
      <c r="N50" t="s">
        <v>281</v>
      </c>
      <c r="O50" t="s">
        <v>73</v>
      </c>
      <c r="P50" t="s">
        <v>74</v>
      </c>
      <c r="Q50" t="s">
        <v>282</v>
      </c>
      <c r="R50" s="2">
        <v>21.8</v>
      </c>
      <c r="S50" s="3">
        <v>2</v>
      </c>
      <c r="T50" s="2">
        <v>0</v>
      </c>
      <c r="U50" s="2">
        <v>6.1040000000000001</v>
      </c>
      <c r="V50" s="7">
        <f t="shared" si="0"/>
        <v>0.27999999999999997</v>
      </c>
      <c r="W50" s="3">
        <f t="shared" si="1"/>
        <v>5</v>
      </c>
    </row>
    <row r="51" spans="1:23" x14ac:dyDescent="0.35">
      <c r="A51" s="3">
        <v>50</v>
      </c>
      <c r="B51" t="s">
        <v>283</v>
      </c>
      <c r="C51" s="4">
        <v>42112</v>
      </c>
      <c r="D51" s="4">
        <v>42116</v>
      </c>
      <c r="E51" t="s">
        <v>51</v>
      </c>
      <c r="F51" t="s">
        <v>286</v>
      </c>
      <c r="G51" t="s">
        <v>287</v>
      </c>
      <c r="H51" t="s">
        <v>25</v>
      </c>
      <c r="I51" t="s">
        <v>26</v>
      </c>
      <c r="J51" t="s">
        <v>288</v>
      </c>
      <c r="K51" t="s">
        <v>289</v>
      </c>
      <c r="L51" s="3">
        <v>47150</v>
      </c>
      <c r="M51" t="s">
        <v>111</v>
      </c>
      <c r="N51" t="s">
        <v>290</v>
      </c>
      <c r="O51" t="s">
        <v>46</v>
      </c>
      <c r="P51" t="s">
        <v>77</v>
      </c>
      <c r="Q51" t="s">
        <v>291</v>
      </c>
      <c r="R51" s="2">
        <v>38.22</v>
      </c>
      <c r="S51" s="3">
        <v>6</v>
      </c>
      <c r="T51" s="2">
        <v>0</v>
      </c>
      <c r="U51" s="2">
        <v>17.9634</v>
      </c>
      <c r="V51" s="7">
        <f t="shared" si="0"/>
        <v>0.47000000000000003</v>
      </c>
      <c r="W51" s="3">
        <f t="shared" si="1"/>
        <v>4</v>
      </c>
    </row>
    <row r="52" spans="1:23" x14ac:dyDescent="0.35">
      <c r="A52" s="3">
        <v>51</v>
      </c>
      <c r="B52" t="s">
        <v>283</v>
      </c>
      <c r="C52" s="4">
        <v>42112</v>
      </c>
      <c r="D52" s="4">
        <v>42116</v>
      </c>
      <c r="E52" t="s">
        <v>51</v>
      </c>
      <c r="F52" t="s">
        <v>286</v>
      </c>
      <c r="G52" t="s">
        <v>287</v>
      </c>
      <c r="H52" t="s">
        <v>25</v>
      </c>
      <c r="I52" t="s">
        <v>26</v>
      </c>
      <c r="J52" t="s">
        <v>288</v>
      </c>
      <c r="K52" t="s">
        <v>289</v>
      </c>
      <c r="L52" s="3">
        <v>47150</v>
      </c>
      <c r="M52" t="s">
        <v>111</v>
      </c>
      <c r="N52" t="s">
        <v>292</v>
      </c>
      <c r="O52" t="s">
        <v>46</v>
      </c>
      <c r="P52" t="s">
        <v>47</v>
      </c>
      <c r="Q52" t="s">
        <v>293</v>
      </c>
      <c r="R52" s="2">
        <v>75.180000000000007</v>
      </c>
      <c r="S52" s="3">
        <v>6</v>
      </c>
      <c r="T52" s="2">
        <v>0</v>
      </c>
      <c r="U52" s="2">
        <v>35.334600000000002</v>
      </c>
      <c r="V52" s="7">
        <f t="shared" si="0"/>
        <v>0.47</v>
      </c>
      <c r="W52" s="3">
        <f t="shared" si="1"/>
        <v>4</v>
      </c>
    </row>
    <row r="53" spans="1:23" x14ac:dyDescent="0.35">
      <c r="A53" s="3">
        <v>52</v>
      </c>
      <c r="B53" t="s">
        <v>283</v>
      </c>
      <c r="C53" s="4">
        <v>42112</v>
      </c>
      <c r="D53" s="4">
        <v>42116</v>
      </c>
      <c r="E53" t="s">
        <v>51</v>
      </c>
      <c r="F53" t="s">
        <v>286</v>
      </c>
      <c r="G53" t="s">
        <v>287</v>
      </c>
      <c r="H53" t="s">
        <v>25</v>
      </c>
      <c r="I53" t="s">
        <v>26</v>
      </c>
      <c r="J53" t="s">
        <v>288</v>
      </c>
      <c r="K53" t="s">
        <v>289</v>
      </c>
      <c r="L53" s="3">
        <v>47150</v>
      </c>
      <c r="M53" t="s">
        <v>111</v>
      </c>
      <c r="N53" t="s">
        <v>294</v>
      </c>
      <c r="O53" t="s">
        <v>31</v>
      </c>
      <c r="P53" t="s">
        <v>67</v>
      </c>
      <c r="Q53" t="s">
        <v>295</v>
      </c>
      <c r="R53" s="2">
        <v>6.16</v>
      </c>
      <c r="S53" s="3">
        <v>2</v>
      </c>
      <c r="T53" s="2">
        <v>0</v>
      </c>
      <c r="U53" s="2">
        <v>2.9567999999999999</v>
      </c>
      <c r="V53" s="7">
        <f t="shared" si="0"/>
        <v>0.48</v>
      </c>
      <c r="W53" s="3">
        <f t="shared" si="1"/>
        <v>4</v>
      </c>
    </row>
    <row r="54" spans="1:23" x14ac:dyDescent="0.35">
      <c r="A54" s="3">
        <v>53</v>
      </c>
      <c r="B54" t="s">
        <v>283</v>
      </c>
      <c r="C54" s="4">
        <v>42112</v>
      </c>
      <c r="D54" s="4">
        <v>42116</v>
      </c>
      <c r="E54" t="s">
        <v>51</v>
      </c>
      <c r="F54" t="s">
        <v>286</v>
      </c>
      <c r="G54" t="s">
        <v>287</v>
      </c>
      <c r="H54" t="s">
        <v>25</v>
      </c>
      <c r="I54" t="s">
        <v>26</v>
      </c>
      <c r="J54" t="s">
        <v>288</v>
      </c>
      <c r="K54" t="s">
        <v>289</v>
      </c>
      <c r="L54" s="3">
        <v>47150</v>
      </c>
      <c r="M54" t="s">
        <v>111</v>
      </c>
      <c r="N54" t="s">
        <v>296</v>
      </c>
      <c r="O54" t="s">
        <v>31</v>
      </c>
      <c r="P54" t="s">
        <v>35</v>
      </c>
      <c r="Q54" t="s">
        <v>297</v>
      </c>
      <c r="R54" s="2">
        <v>89.99</v>
      </c>
      <c r="S54" s="3">
        <v>1</v>
      </c>
      <c r="T54" s="2">
        <v>0</v>
      </c>
      <c r="U54" s="2">
        <v>17.098099999999999</v>
      </c>
      <c r="V54" s="7">
        <f t="shared" si="0"/>
        <v>0.19</v>
      </c>
      <c r="W54" s="3">
        <f t="shared" si="1"/>
        <v>4</v>
      </c>
    </row>
    <row r="55" spans="1:23" x14ac:dyDescent="0.35">
      <c r="A55" s="3">
        <v>54</v>
      </c>
      <c r="B55" t="s">
        <v>298</v>
      </c>
      <c r="C55" s="4">
        <v>42715</v>
      </c>
      <c r="D55" s="4">
        <v>42721</v>
      </c>
      <c r="E55" t="s">
        <v>51</v>
      </c>
      <c r="F55" t="s">
        <v>300</v>
      </c>
      <c r="G55" t="s">
        <v>301</v>
      </c>
      <c r="H55" t="s">
        <v>41</v>
      </c>
      <c r="I55" t="s">
        <v>26</v>
      </c>
      <c r="J55" t="s">
        <v>302</v>
      </c>
      <c r="K55" t="s">
        <v>303</v>
      </c>
      <c r="L55" s="3">
        <v>10024</v>
      </c>
      <c r="M55" t="s">
        <v>161</v>
      </c>
      <c r="N55" t="s">
        <v>304</v>
      </c>
      <c r="O55" t="s">
        <v>46</v>
      </c>
      <c r="P55" t="s">
        <v>305</v>
      </c>
      <c r="Q55" t="s">
        <v>306</v>
      </c>
      <c r="R55" s="2">
        <v>15.26</v>
      </c>
      <c r="S55" s="3">
        <v>7</v>
      </c>
      <c r="T55" s="2">
        <v>0</v>
      </c>
      <c r="U55" s="2">
        <v>6.2565999999999997</v>
      </c>
      <c r="V55" s="7">
        <f t="shared" si="0"/>
        <v>0.41</v>
      </c>
      <c r="W55" s="3">
        <f t="shared" si="1"/>
        <v>6</v>
      </c>
    </row>
    <row r="56" spans="1:23" x14ac:dyDescent="0.35">
      <c r="A56" s="3">
        <v>55</v>
      </c>
      <c r="B56" t="s">
        <v>298</v>
      </c>
      <c r="C56" s="4">
        <v>42715</v>
      </c>
      <c r="D56" s="4">
        <v>42721</v>
      </c>
      <c r="E56" t="s">
        <v>51</v>
      </c>
      <c r="F56" t="s">
        <v>300</v>
      </c>
      <c r="G56" t="s">
        <v>301</v>
      </c>
      <c r="H56" t="s">
        <v>41</v>
      </c>
      <c r="I56" t="s">
        <v>26</v>
      </c>
      <c r="J56" t="s">
        <v>302</v>
      </c>
      <c r="K56" t="s">
        <v>303</v>
      </c>
      <c r="L56" s="3">
        <v>10024</v>
      </c>
      <c r="M56" t="s">
        <v>161</v>
      </c>
      <c r="N56" t="s">
        <v>307</v>
      </c>
      <c r="O56" t="s">
        <v>73</v>
      </c>
      <c r="P56" t="s">
        <v>74</v>
      </c>
      <c r="Q56" t="s">
        <v>308</v>
      </c>
      <c r="R56" s="2">
        <v>1029.95</v>
      </c>
      <c r="S56" s="3">
        <v>5</v>
      </c>
      <c r="T56" s="2">
        <v>0</v>
      </c>
      <c r="U56" s="2">
        <v>298.68549999999999</v>
      </c>
      <c r="V56" s="7">
        <f t="shared" si="0"/>
        <v>0.28999999999999998</v>
      </c>
      <c r="W56" s="3">
        <f t="shared" si="1"/>
        <v>6</v>
      </c>
    </row>
    <row r="57" spans="1:23" x14ac:dyDescent="0.35">
      <c r="A57" s="3">
        <v>56</v>
      </c>
      <c r="B57" t="s">
        <v>309</v>
      </c>
      <c r="C57" s="4">
        <v>42538</v>
      </c>
      <c r="D57" s="4">
        <v>42539</v>
      </c>
      <c r="E57" t="s">
        <v>209</v>
      </c>
      <c r="F57" t="s">
        <v>312</v>
      </c>
      <c r="G57" t="s">
        <v>313</v>
      </c>
      <c r="H57" t="s">
        <v>25</v>
      </c>
      <c r="I57" t="s">
        <v>26</v>
      </c>
      <c r="J57" t="s">
        <v>314</v>
      </c>
      <c r="K57" t="s">
        <v>303</v>
      </c>
      <c r="L57" s="3">
        <v>12180</v>
      </c>
      <c r="M57" t="s">
        <v>161</v>
      </c>
      <c r="N57" t="s">
        <v>315</v>
      </c>
      <c r="O57" t="s">
        <v>46</v>
      </c>
      <c r="P57" t="s">
        <v>60</v>
      </c>
      <c r="Q57" t="s">
        <v>316</v>
      </c>
      <c r="R57" s="2">
        <v>208.56</v>
      </c>
      <c r="S57" s="3">
        <v>6</v>
      </c>
      <c r="T57" s="2">
        <v>0</v>
      </c>
      <c r="U57" s="2">
        <v>52.14</v>
      </c>
      <c r="V57" s="7">
        <f t="shared" si="0"/>
        <v>0.25</v>
      </c>
      <c r="W57" s="3">
        <f t="shared" si="1"/>
        <v>1</v>
      </c>
    </row>
    <row r="58" spans="1:23" x14ac:dyDescent="0.35">
      <c r="A58" s="3">
        <v>57</v>
      </c>
      <c r="B58" t="s">
        <v>309</v>
      </c>
      <c r="C58" s="4">
        <v>42538</v>
      </c>
      <c r="D58" s="4">
        <v>42539</v>
      </c>
      <c r="E58" t="s">
        <v>209</v>
      </c>
      <c r="F58" t="s">
        <v>312</v>
      </c>
      <c r="G58" t="s">
        <v>313</v>
      </c>
      <c r="H58" t="s">
        <v>25</v>
      </c>
      <c r="I58" t="s">
        <v>26</v>
      </c>
      <c r="J58" t="s">
        <v>314</v>
      </c>
      <c r="K58" t="s">
        <v>303</v>
      </c>
      <c r="L58" s="3">
        <v>12180</v>
      </c>
      <c r="M58" t="s">
        <v>161</v>
      </c>
      <c r="N58" t="s">
        <v>317</v>
      </c>
      <c r="O58" t="s">
        <v>46</v>
      </c>
      <c r="P58" t="s">
        <v>94</v>
      </c>
      <c r="Q58" t="s">
        <v>318</v>
      </c>
      <c r="R58" s="2">
        <v>32.4</v>
      </c>
      <c r="S58" s="3">
        <v>5</v>
      </c>
      <c r="T58" s="2">
        <v>0</v>
      </c>
      <c r="U58" s="2">
        <v>15.552</v>
      </c>
      <c r="V58" s="7">
        <f t="shared" si="0"/>
        <v>0.48</v>
      </c>
      <c r="W58" s="3">
        <f t="shared" si="1"/>
        <v>1</v>
      </c>
    </row>
    <row r="59" spans="1:23" x14ac:dyDescent="0.35">
      <c r="A59" s="3">
        <v>58</v>
      </c>
      <c r="B59" t="s">
        <v>309</v>
      </c>
      <c r="C59" s="4">
        <v>42538</v>
      </c>
      <c r="D59" s="4">
        <v>42539</v>
      </c>
      <c r="E59" t="s">
        <v>209</v>
      </c>
      <c r="F59" t="s">
        <v>312</v>
      </c>
      <c r="G59" t="s">
        <v>313</v>
      </c>
      <c r="H59" t="s">
        <v>25</v>
      </c>
      <c r="I59" t="s">
        <v>26</v>
      </c>
      <c r="J59" t="s">
        <v>314</v>
      </c>
      <c r="K59" t="s">
        <v>303</v>
      </c>
      <c r="L59" s="3">
        <v>12180</v>
      </c>
      <c r="M59" t="s">
        <v>161</v>
      </c>
      <c r="N59" t="s">
        <v>319</v>
      </c>
      <c r="O59" t="s">
        <v>31</v>
      </c>
      <c r="P59" t="s">
        <v>35</v>
      </c>
      <c r="Q59" t="s">
        <v>320</v>
      </c>
      <c r="R59" s="2">
        <v>319.41000000000003</v>
      </c>
      <c r="S59" s="3">
        <v>5</v>
      </c>
      <c r="T59" s="2">
        <v>0.1</v>
      </c>
      <c r="U59" s="2">
        <v>7.0979999999999999</v>
      </c>
      <c r="V59" s="7">
        <f t="shared" si="0"/>
        <v>2.222222222222222E-2</v>
      </c>
      <c r="W59" s="3">
        <f t="shared" si="1"/>
        <v>1</v>
      </c>
    </row>
    <row r="60" spans="1:23" x14ac:dyDescent="0.35">
      <c r="A60" s="3">
        <v>59</v>
      </c>
      <c r="B60" t="s">
        <v>309</v>
      </c>
      <c r="C60" s="4">
        <v>42538</v>
      </c>
      <c r="D60" s="4">
        <v>42539</v>
      </c>
      <c r="E60" t="s">
        <v>209</v>
      </c>
      <c r="F60" t="s">
        <v>312</v>
      </c>
      <c r="G60" t="s">
        <v>313</v>
      </c>
      <c r="H60" t="s">
        <v>25</v>
      </c>
      <c r="I60" t="s">
        <v>26</v>
      </c>
      <c r="J60" t="s">
        <v>314</v>
      </c>
      <c r="K60" t="s">
        <v>303</v>
      </c>
      <c r="L60" s="3">
        <v>12180</v>
      </c>
      <c r="M60" t="s">
        <v>161</v>
      </c>
      <c r="N60" t="s">
        <v>321</v>
      </c>
      <c r="O60" t="s">
        <v>46</v>
      </c>
      <c r="P60" t="s">
        <v>94</v>
      </c>
      <c r="Q60" t="s">
        <v>322</v>
      </c>
      <c r="R60" s="2">
        <v>14.56</v>
      </c>
      <c r="S60" s="3">
        <v>2</v>
      </c>
      <c r="T60" s="2">
        <v>0</v>
      </c>
      <c r="U60" s="2">
        <v>6.9888000000000003</v>
      </c>
      <c r="V60" s="7">
        <f t="shared" si="0"/>
        <v>0.48</v>
      </c>
      <c r="W60" s="3">
        <f t="shared" si="1"/>
        <v>1</v>
      </c>
    </row>
    <row r="61" spans="1:23" x14ac:dyDescent="0.35">
      <c r="A61" s="3">
        <v>60</v>
      </c>
      <c r="B61" t="s">
        <v>309</v>
      </c>
      <c r="C61" s="4">
        <v>42538</v>
      </c>
      <c r="D61" s="4">
        <v>42539</v>
      </c>
      <c r="E61" t="s">
        <v>209</v>
      </c>
      <c r="F61" t="s">
        <v>312</v>
      </c>
      <c r="G61" t="s">
        <v>313</v>
      </c>
      <c r="H61" t="s">
        <v>25</v>
      </c>
      <c r="I61" t="s">
        <v>26</v>
      </c>
      <c r="J61" t="s">
        <v>314</v>
      </c>
      <c r="K61" t="s">
        <v>303</v>
      </c>
      <c r="L61" s="3">
        <v>12180</v>
      </c>
      <c r="M61" t="s">
        <v>161</v>
      </c>
      <c r="N61" t="s">
        <v>279</v>
      </c>
      <c r="O61" t="s">
        <v>73</v>
      </c>
      <c r="P61" t="s">
        <v>178</v>
      </c>
      <c r="Q61" t="s">
        <v>280</v>
      </c>
      <c r="R61" s="2">
        <v>30</v>
      </c>
      <c r="S61" s="3">
        <v>2</v>
      </c>
      <c r="T61" s="2">
        <v>0</v>
      </c>
      <c r="U61" s="2">
        <v>3.3</v>
      </c>
      <c r="V61" s="7">
        <f t="shared" si="0"/>
        <v>0.11</v>
      </c>
      <c r="W61" s="3">
        <f t="shared" si="1"/>
        <v>1</v>
      </c>
    </row>
    <row r="62" spans="1:23" x14ac:dyDescent="0.35">
      <c r="A62" s="3">
        <v>61</v>
      </c>
      <c r="B62" t="s">
        <v>309</v>
      </c>
      <c r="C62" s="4">
        <v>42538</v>
      </c>
      <c r="D62" s="4">
        <v>42539</v>
      </c>
      <c r="E62" t="s">
        <v>209</v>
      </c>
      <c r="F62" t="s">
        <v>312</v>
      </c>
      <c r="G62" t="s">
        <v>313</v>
      </c>
      <c r="H62" t="s">
        <v>25</v>
      </c>
      <c r="I62" t="s">
        <v>26</v>
      </c>
      <c r="J62" t="s">
        <v>314</v>
      </c>
      <c r="K62" t="s">
        <v>303</v>
      </c>
      <c r="L62" s="3">
        <v>12180</v>
      </c>
      <c r="M62" t="s">
        <v>161</v>
      </c>
      <c r="N62" t="s">
        <v>323</v>
      </c>
      <c r="O62" t="s">
        <v>46</v>
      </c>
      <c r="P62" t="s">
        <v>77</v>
      </c>
      <c r="Q62" t="s">
        <v>324</v>
      </c>
      <c r="R62" s="2">
        <v>48.48</v>
      </c>
      <c r="S62" s="3">
        <v>4</v>
      </c>
      <c r="T62" s="2">
        <v>0.2</v>
      </c>
      <c r="U62" s="2">
        <v>16.361999999999998</v>
      </c>
      <c r="V62" s="7">
        <f t="shared" si="0"/>
        <v>0.33749999999999997</v>
      </c>
      <c r="W62" s="3">
        <f t="shared" si="1"/>
        <v>1</v>
      </c>
    </row>
    <row r="63" spans="1:23" x14ac:dyDescent="0.35">
      <c r="A63" s="3">
        <v>62</v>
      </c>
      <c r="B63" t="s">
        <v>309</v>
      </c>
      <c r="C63" s="4">
        <v>42538</v>
      </c>
      <c r="D63" s="4">
        <v>42539</v>
      </c>
      <c r="E63" t="s">
        <v>209</v>
      </c>
      <c r="F63" t="s">
        <v>312</v>
      </c>
      <c r="G63" t="s">
        <v>313</v>
      </c>
      <c r="H63" t="s">
        <v>25</v>
      </c>
      <c r="I63" t="s">
        <v>26</v>
      </c>
      <c r="J63" t="s">
        <v>314</v>
      </c>
      <c r="K63" t="s">
        <v>303</v>
      </c>
      <c r="L63" s="3">
        <v>12180</v>
      </c>
      <c r="M63" t="s">
        <v>161</v>
      </c>
      <c r="N63" t="s">
        <v>325</v>
      </c>
      <c r="O63" t="s">
        <v>46</v>
      </c>
      <c r="P63" t="s">
        <v>70</v>
      </c>
      <c r="Q63" t="s">
        <v>326</v>
      </c>
      <c r="R63" s="2">
        <v>1.68</v>
      </c>
      <c r="S63" s="3">
        <v>1</v>
      </c>
      <c r="T63" s="2">
        <v>0</v>
      </c>
      <c r="U63" s="2">
        <v>0.84</v>
      </c>
      <c r="V63" s="7">
        <f t="shared" si="0"/>
        <v>0.5</v>
      </c>
      <c r="W63" s="3">
        <f t="shared" si="1"/>
        <v>1</v>
      </c>
    </row>
    <row r="64" spans="1:23" x14ac:dyDescent="0.35">
      <c r="A64" s="3">
        <v>63</v>
      </c>
      <c r="B64" t="s">
        <v>327</v>
      </c>
      <c r="C64" s="4">
        <v>42332</v>
      </c>
      <c r="D64" s="4">
        <v>42338</v>
      </c>
      <c r="E64" t="s">
        <v>51</v>
      </c>
      <c r="F64" t="s">
        <v>330</v>
      </c>
      <c r="G64" t="s">
        <v>331</v>
      </c>
      <c r="H64" t="s">
        <v>25</v>
      </c>
      <c r="I64" t="s">
        <v>26</v>
      </c>
      <c r="J64" t="s">
        <v>42</v>
      </c>
      <c r="K64" t="s">
        <v>43</v>
      </c>
      <c r="L64" s="3">
        <v>90004</v>
      </c>
      <c r="M64" t="s">
        <v>44</v>
      </c>
      <c r="N64" t="s">
        <v>332</v>
      </c>
      <c r="O64" t="s">
        <v>73</v>
      </c>
      <c r="P64" t="s">
        <v>178</v>
      </c>
      <c r="Q64" t="s">
        <v>333</v>
      </c>
      <c r="R64" s="2">
        <v>13.98</v>
      </c>
      <c r="S64" s="3">
        <v>2</v>
      </c>
      <c r="T64" s="2">
        <v>0</v>
      </c>
      <c r="U64" s="2">
        <v>6.1512000000000002</v>
      </c>
      <c r="V64" s="7">
        <f t="shared" si="0"/>
        <v>0.44</v>
      </c>
      <c r="W64" s="3">
        <f t="shared" si="1"/>
        <v>6</v>
      </c>
    </row>
    <row r="65" spans="1:23" x14ac:dyDescent="0.35">
      <c r="A65" s="3">
        <v>64</v>
      </c>
      <c r="B65" t="s">
        <v>327</v>
      </c>
      <c r="C65" s="4">
        <v>42332</v>
      </c>
      <c r="D65" s="4">
        <v>42338</v>
      </c>
      <c r="E65" t="s">
        <v>51</v>
      </c>
      <c r="F65" t="s">
        <v>330</v>
      </c>
      <c r="G65" t="s">
        <v>331</v>
      </c>
      <c r="H65" t="s">
        <v>25</v>
      </c>
      <c r="I65" t="s">
        <v>26</v>
      </c>
      <c r="J65" t="s">
        <v>42</v>
      </c>
      <c r="K65" t="s">
        <v>43</v>
      </c>
      <c r="L65" s="3">
        <v>90004</v>
      </c>
      <c r="M65" t="s">
        <v>44</v>
      </c>
      <c r="N65" t="s">
        <v>334</v>
      </c>
      <c r="O65" t="s">
        <v>46</v>
      </c>
      <c r="P65" t="s">
        <v>77</v>
      </c>
      <c r="Q65" t="s">
        <v>335</v>
      </c>
      <c r="R65" s="2">
        <v>25.824000000000002</v>
      </c>
      <c r="S65" s="3">
        <v>6</v>
      </c>
      <c r="T65" s="2">
        <v>0.2</v>
      </c>
      <c r="U65" s="2">
        <v>9.3612000000000002</v>
      </c>
      <c r="V65" s="7">
        <f t="shared" si="0"/>
        <v>0.36249999999999999</v>
      </c>
      <c r="W65" s="3">
        <f t="shared" si="1"/>
        <v>6</v>
      </c>
    </row>
    <row r="66" spans="1:23" x14ac:dyDescent="0.35">
      <c r="A66" s="3">
        <v>65</v>
      </c>
      <c r="B66" t="s">
        <v>327</v>
      </c>
      <c r="C66" s="4">
        <v>42332</v>
      </c>
      <c r="D66" s="4">
        <v>42338</v>
      </c>
      <c r="E66" t="s">
        <v>51</v>
      </c>
      <c r="F66" t="s">
        <v>330</v>
      </c>
      <c r="G66" t="s">
        <v>331</v>
      </c>
      <c r="H66" t="s">
        <v>25</v>
      </c>
      <c r="I66" t="s">
        <v>26</v>
      </c>
      <c r="J66" t="s">
        <v>42</v>
      </c>
      <c r="K66" t="s">
        <v>43</v>
      </c>
      <c r="L66" s="3">
        <v>90004</v>
      </c>
      <c r="M66" t="s">
        <v>44</v>
      </c>
      <c r="N66" t="s">
        <v>336</v>
      </c>
      <c r="O66" t="s">
        <v>46</v>
      </c>
      <c r="P66" t="s">
        <v>94</v>
      </c>
      <c r="Q66" t="s">
        <v>337</v>
      </c>
      <c r="R66" s="2">
        <v>146.72999999999999</v>
      </c>
      <c r="S66" s="3">
        <v>3</v>
      </c>
      <c r="T66" s="2">
        <v>0</v>
      </c>
      <c r="U66" s="2">
        <v>68.963099999999997</v>
      </c>
      <c r="V66" s="7">
        <f t="shared" si="0"/>
        <v>0.47000000000000003</v>
      </c>
      <c r="W66" s="3">
        <f t="shared" si="1"/>
        <v>6</v>
      </c>
    </row>
    <row r="67" spans="1:23" x14ac:dyDescent="0.35">
      <c r="A67" s="3">
        <v>66</v>
      </c>
      <c r="B67" t="s">
        <v>327</v>
      </c>
      <c r="C67" s="4">
        <v>42332</v>
      </c>
      <c r="D67" s="4">
        <v>42338</v>
      </c>
      <c r="E67" t="s">
        <v>51</v>
      </c>
      <c r="F67" t="s">
        <v>330</v>
      </c>
      <c r="G67" t="s">
        <v>331</v>
      </c>
      <c r="H67" t="s">
        <v>25</v>
      </c>
      <c r="I67" t="s">
        <v>26</v>
      </c>
      <c r="J67" t="s">
        <v>42</v>
      </c>
      <c r="K67" t="s">
        <v>43</v>
      </c>
      <c r="L67" s="3">
        <v>90004</v>
      </c>
      <c r="M67" t="s">
        <v>44</v>
      </c>
      <c r="N67" t="s">
        <v>338</v>
      </c>
      <c r="O67" t="s">
        <v>31</v>
      </c>
      <c r="P67" t="s">
        <v>67</v>
      </c>
      <c r="Q67" t="s">
        <v>339</v>
      </c>
      <c r="R67" s="2">
        <v>79.760000000000005</v>
      </c>
      <c r="S67" s="3">
        <v>4</v>
      </c>
      <c r="T67" s="2">
        <v>0</v>
      </c>
      <c r="U67" s="2">
        <v>22.332799999999999</v>
      </c>
      <c r="V67" s="7">
        <f t="shared" ref="V67:V101" si="2">U67/R67</f>
        <v>0.27999999999999997</v>
      </c>
      <c r="W67" s="3">
        <f t="shared" ref="W67:W101" si="3">_xlfn.DAYS(D67, C67)</f>
        <v>6</v>
      </c>
    </row>
    <row r="68" spans="1:23" x14ac:dyDescent="0.35">
      <c r="A68" s="3">
        <v>67</v>
      </c>
      <c r="B68" t="s">
        <v>340</v>
      </c>
      <c r="C68" s="4">
        <v>42124</v>
      </c>
      <c r="D68" s="4">
        <v>42129</v>
      </c>
      <c r="E68" t="s">
        <v>51</v>
      </c>
      <c r="F68" t="s">
        <v>342</v>
      </c>
      <c r="G68" t="s">
        <v>343</v>
      </c>
      <c r="H68" t="s">
        <v>108</v>
      </c>
      <c r="I68" t="s">
        <v>26</v>
      </c>
      <c r="J68" t="s">
        <v>344</v>
      </c>
      <c r="K68" t="s">
        <v>235</v>
      </c>
      <c r="L68" s="3">
        <v>60610</v>
      </c>
      <c r="M68" t="s">
        <v>111</v>
      </c>
      <c r="N68" t="s">
        <v>345</v>
      </c>
      <c r="O68" t="s">
        <v>31</v>
      </c>
      <c r="P68" t="s">
        <v>35</v>
      </c>
      <c r="Q68" t="s">
        <v>346</v>
      </c>
      <c r="R68" s="2">
        <v>213.11500000000001</v>
      </c>
      <c r="S68" s="3">
        <v>5</v>
      </c>
      <c r="T68" s="2">
        <v>0.3</v>
      </c>
      <c r="U68" s="2">
        <v>-15.2225</v>
      </c>
      <c r="V68" s="7">
        <f t="shared" si="2"/>
        <v>-7.1428571428571425E-2</v>
      </c>
      <c r="W68" s="3">
        <f t="shared" si="3"/>
        <v>5</v>
      </c>
    </row>
    <row r="69" spans="1:23" x14ac:dyDescent="0.35">
      <c r="A69" s="3">
        <v>68</v>
      </c>
      <c r="B69" t="s">
        <v>347</v>
      </c>
      <c r="C69" s="4">
        <v>41978</v>
      </c>
      <c r="D69" s="4">
        <v>41983</v>
      </c>
      <c r="E69" t="s">
        <v>51</v>
      </c>
      <c r="F69" t="s">
        <v>348</v>
      </c>
      <c r="G69" t="s">
        <v>349</v>
      </c>
      <c r="H69" t="s">
        <v>41</v>
      </c>
      <c r="I69" t="s">
        <v>26</v>
      </c>
      <c r="J69" t="s">
        <v>350</v>
      </c>
      <c r="K69" t="s">
        <v>351</v>
      </c>
      <c r="L69" s="3">
        <v>85234</v>
      </c>
      <c r="M69" t="s">
        <v>44</v>
      </c>
      <c r="N69" t="s">
        <v>352</v>
      </c>
      <c r="O69" t="s">
        <v>46</v>
      </c>
      <c r="P69" t="s">
        <v>70</v>
      </c>
      <c r="Q69" t="s">
        <v>353</v>
      </c>
      <c r="R69" s="2">
        <v>1113.0239999999999</v>
      </c>
      <c r="S69" s="3">
        <v>8</v>
      </c>
      <c r="T69" s="2">
        <v>0.2</v>
      </c>
      <c r="U69" s="2">
        <v>111.30240000000001</v>
      </c>
      <c r="V69" s="7">
        <f t="shared" si="2"/>
        <v>0.10000000000000002</v>
      </c>
      <c r="W69" s="3">
        <f t="shared" si="3"/>
        <v>5</v>
      </c>
    </row>
    <row r="70" spans="1:23" x14ac:dyDescent="0.35">
      <c r="A70" s="3">
        <v>69</v>
      </c>
      <c r="B70" t="s">
        <v>347</v>
      </c>
      <c r="C70" s="4">
        <v>41978</v>
      </c>
      <c r="D70" s="4">
        <v>41983</v>
      </c>
      <c r="E70" t="s">
        <v>51</v>
      </c>
      <c r="F70" t="s">
        <v>348</v>
      </c>
      <c r="G70" t="s">
        <v>349</v>
      </c>
      <c r="H70" t="s">
        <v>41</v>
      </c>
      <c r="I70" t="s">
        <v>26</v>
      </c>
      <c r="J70" t="s">
        <v>350</v>
      </c>
      <c r="K70" t="s">
        <v>351</v>
      </c>
      <c r="L70" s="3">
        <v>85234</v>
      </c>
      <c r="M70" t="s">
        <v>44</v>
      </c>
      <c r="N70" t="s">
        <v>354</v>
      </c>
      <c r="O70" t="s">
        <v>73</v>
      </c>
      <c r="P70" t="s">
        <v>74</v>
      </c>
      <c r="Q70" t="s">
        <v>355</v>
      </c>
      <c r="R70" s="2">
        <v>167.96799999999999</v>
      </c>
      <c r="S70" s="3">
        <v>4</v>
      </c>
      <c r="T70" s="2">
        <v>0.2</v>
      </c>
      <c r="U70" s="2">
        <v>62.988</v>
      </c>
      <c r="V70" s="7">
        <f t="shared" si="2"/>
        <v>0.375</v>
      </c>
      <c r="W70" s="3">
        <f t="shared" si="3"/>
        <v>5</v>
      </c>
    </row>
    <row r="71" spans="1:23" x14ac:dyDescent="0.35">
      <c r="A71" s="3">
        <v>70</v>
      </c>
      <c r="B71" t="s">
        <v>356</v>
      </c>
      <c r="C71" s="4">
        <v>42525</v>
      </c>
      <c r="D71" s="4">
        <v>42527</v>
      </c>
      <c r="E71" t="s">
        <v>209</v>
      </c>
      <c r="F71" t="s">
        <v>357</v>
      </c>
      <c r="G71" t="s">
        <v>358</v>
      </c>
      <c r="H71" t="s">
        <v>25</v>
      </c>
      <c r="I71" t="s">
        <v>26</v>
      </c>
      <c r="J71" t="s">
        <v>359</v>
      </c>
      <c r="K71" t="s">
        <v>360</v>
      </c>
      <c r="L71" s="3">
        <v>22153</v>
      </c>
      <c r="M71" t="s">
        <v>29</v>
      </c>
      <c r="N71" t="s">
        <v>361</v>
      </c>
      <c r="O71" t="s">
        <v>46</v>
      </c>
      <c r="P71" t="s">
        <v>94</v>
      </c>
      <c r="Q71" t="s">
        <v>362</v>
      </c>
      <c r="R71" s="2">
        <v>75.88</v>
      </c>
      <c r="S71" s="3">
        <v>2</v>
      </c>
      <c r="T71" s="2">
        <v>0</v>
      </c>
      <c r="U71" s="2">
        <v>35.663600000000002</v>
      </c>
      <c r="V71" s="7">
        <f t="shared" si="2"/>
        <v>0.47000000000000008</v>
      </c>
      <c r="W71" s="3">
        <f t="shared" si="3"/>
        <v>2</v>
      </c>
    </row>
    <row r="72" spans="1:23" x14ac:dyDescent="0.35">
      <c r="A72" s="3">
        <v>71</v>
      </c>
      <c r="B72" t="s">
        <v>363</v>
      </c>
      <c r="C72" s="4">
        <v>42631</v>
      </c>
      <c r="D72" s="4">
        <v>42636</v>
      </c>
      <c r="E72" t="s">
        <v>51</v>
      </c>
      <c r="F72" t="s">
        <v>366</v>
      </c>
      <c r="G72" t="s">
        <v>367</v>
      </c>
      <c r="H72" t="s">
        <v>25</v>
      </c>
      <c r="I72" t="s">
        <v>26</v>
      </c>
      <c r="J72" t="s">
        <v>302</v>
      </c>
      <c r="K72" t="s">
        <v>303</v>
      </c>
      <c r="L72" s="3">
        <v>10009</v>
      </c>
      <c r="M72" t="s">
        <v>161</v>
      </c>
      <c r="N72" t="s">
        <v>368</v>
      </c>
      <c r="O72" t="s">
        <v>46</v>
      </c>
      <c r="P72" t="s">
        <v>77</v>
      </c>
      <c r="Q72" t="s">
        <v>369</v>
      </c>
      <c r="R72" s="2">
        <v>4.6159999999999997</v>
      </c>
      <c r="S72" s="3">
        <v>1</v>
      </c>
      <c r="T72" s="2">
        <v>0.2</v>
      </c>
      <c r="U72" s="2">
        <v>1.7310000000000001</v>
      </c>
      <c r="V72" s="7">
        <f t="shared" si="2"/>
        <v>0.37500000000000006</v>
      </c>
      <c r="W72" s="3">
        <f t="shared" si="3"/>
        <v>5</v>
      </c>
    </row>
    <row r="73" spans="1:23" x14ac:dyDescent="0.35">
      <c r="A73" s="3">
        <v>72</v>
      </c>
      <c r="B73" t="s">
        <v>370</v>
      </c>
      <c r="C73" s="4">
        <v>42992</v>
      </c>
      <c r="D73" s="4">
        <v>42995</v>
      </c>
      <c r="E73" t="s">
        <v>22</v>
      </c>
      <c r="F73" t="s">
        <v>183</v>
      </c>
      <c r="G73" t="s">
        <v>184</v>
      </c>
      <c r="H73" t="s">
        <v>25</v>
      </c>
      <c r="I73" t="s">
        <v>26</v>
      </c>
      <c r="J73" t="s">
        <v>373</v>
      </c>
      <c r="K73" t="s">
        <v>269</v>
      </c>
      <c r="L73" s="3">
        <v>49201</v>
      </c>
      <c r="M73" t="s">
        <v>111</v>
      </c>
      <c r="N73" t="s">
        <v>374</v>
      </c>
      <c r="O73" t="s">
        <v>46</v>
      </c>
      <c r="P73" t="s">
        <v>94</v>
      </c>
      <c r="Q73" t="s">
        <v>375</v>
      </c>
      <c r="R73" s="2">
        <v>19.05</v>
      </c>
      <c r="S73" s="3">
        <v>3</v>
      </c>
      <c r="T73" s="2">
        <v>0</v>
      </c>
      <c r="U73" s="2">
        <v>8.7629999999999999</v>
      </c>
      <c r="V73" s="7">
        <f t="shared" si="2"/>
        <v>0.45999999999999996</v>
      </c>
      <c r="W73" s="3">
        <f t="shared" si="3"/>
        <v>3</v>
      </c>
    </row>
    <row r="74" spans="1:23" x14ac:dyDescent="0.35">
      <c r="A74" s="3">
        <v>73</v>
      </c>
      <c r="B74" t="s">
        <v>376</v>
      </c>
      <c r="C74" s="4">
        <v>42120</v>
      </c>
      <c r="D74" s="4">
        <v>42126</v>
      </c>
      <c r="E74" t="s">
        <v>51</v>
      </c>
      <c r="F74" t="s">
        <v>378</v>
      </c>
      <c r="G74" t="s">
        <v>379</v>
      </c>
      <c r="H74" t="s">
        <v>25</v>
      </c>
      <c r="I74" t="s">
        <v>26</v>
      </c>
      <c r="J74" t="s">
        <v>380</v>
      </c>
      <c r="K74" t="s">
        <v>381</v>
      </c>
      <c r="L74" s="3">
        <v>38109</v>
      </c>
      <c r="M74" t="s">
        <v>29</v>
      </c>
      <c r="N74" t="s">
        <v>382</v>
      </c>
      <c r="O74" t="s">
        <v>31</v>
      </c>
      <c r="P74" t="s">
        <v>35</v>
      </c>
      <c r="Q74" t="s">
        <v>383</v>
      </c>
      <c r="R74" s="2">
        <v>831.93600000000004</v>
      </c>
      <c r="S74" s="3">
        <v>8</v>
      </c>
      <c r="T74" s="2">
        <v>0.2</v>
      </c>
      <c r="U74" s="2">
        <v>-114.3912</v>
      </c>
      <c r="V74" s="7">
        <f t="shared" si="2"/>
        <v>-0.13749999999999998</v>
      </c>
      <c r="W74" s="3">
        <f t="shared" si="3"/>
        <v>6</v>
      </c>
    </row>
    <row r="75" spans="1:23" x14ac:dyDescent="0.35">
      <c r="A75" s="3">
        <v>74</v>
      </c>
      <c r="B75" t="s">
        <v>376</v>
      </c>
      <c r="C75" s="4">
        <v>42120</v>
      </c>
      <c r="D75" s="4">
        <v>42126</v>
      </c>
      <c r="E75" t="s">
        <v>51</v>
      </c>
      <c r="F75" t="s">
        <v>378</v>
      </c>
      <c r="G75" t="s">
        <v>379</v>
      </c>
      <c r="H75" t="s">
        <v>25</v>
      </c>
      <c r="I75" t="s">
        <v>26</v>
      </c>
      <c r="J75" t="s">
        <v>380</v>
      </c>
      <c r="K75" t="s">
        <v>381</v>
      </c>
      <c r="L75" s="3">
        <v>38109</v>
      </c>
      <c r="M75" t="s">
        <v>29</v>
      </c>
      <c r="N75" t="s">
        <v>384</v>
      </c>
      <c r="O75" t="s">
        <v>31</v>
      </c>
      <c r="P75" t="s">
        <v>67</v>
      </c>
      <c r="Q75" t="s">
        <v>385</v>
      </c>
      <c r="R75" s="2">
        <v>97.04</v>
      </c>
      <c r="S75" s="3">
        <v>2</v>
      </c>
      <c r="T75" s="2">
        <v>0.2</v>
      </c>
      <c r="U75" s="2">
        <v>1.2130000000000001</v>
      </c>
      <c r="V75" s="7">
        <f t="shared" si="2"/>
        <v>1.2500000000000001E-2</v>
      </c>
      <c r="W75" s="3">
        <f t="shared" si="3"/>
        <v>6</v>
      </c>
    </row>
    <row r="76" spans="1:23" x14ac:dyDescent="0.35">
      <c r="A76" s="3">
        <v>75</v>
      </c>
      <c r="B76" t="s">
        <v>376</v>
      </c>
      <c r="C76" s="4">
        <v>42120</v>
      </c>
      <c r="D76" s="4">
        <v>42126</v>
      </c>
      <c r="E76" t="s">
        <v>51</v>
      </c>
      <c r="F76" t="s">
        <v>378</v>
      </c>
      <c r="G76" t="s">
        <v>379</v>
      </c>
      <c r="H76" t="s">
        <v>25</v>
      </c>
      <c r="I76" t="s">
        <v>26</v>
      </c>
      <c r="J76" t="s">
        <v>380</v>
      </c>
      <c r="K76" t="s">
        <v>381</v>
      </c>
      <c r="L76" s="3">
        <v>38109</v>
      </c>
      <c r="M76" t="s">
        <v>29</v>
      </c>
      <c r="N76" t="s">
        <v>386</v>
      </c>
      <c r="O76" t="s">
        <v>46</v>
      </c>
      <c r="P76" t="s">
        <v>60</v>
      </c>
      <c r="Q76" t="s">
        <v>387</v>
      </c>
      <c r="R76" s="2">
        <v>72.784000000000006</v>
      </c>
      <c r="S76" s="3">
        <v>1</v>
      </c>
      <c r="T76" s="2">
        <v>0.2</v>
      </c>
      <c r="U76" s="2">
        <v>-18.196000000000002</v>
      </c>
      <c r="V76" s="7">
        <f t="shared" si="2"/>
        <v>-0.25</v>
      </c>
      <c r="W76" s="3">
        <f t="shared" si="3"/>
        <v>6</v>
      </c>
    </row>
    <row r="77" spans="1:23" x14ac:dyDescent="0.35">
      <c r="A77" s="3">
        <v>76</v>
      </c>
      <c r="B77" t="s">
        <v>388</v>
      </c>
      <c r="C77" s="4">
        <v>43078</v>
      </c>
      <c r="D77" s="4">
        <v>43080</v>
      </c>
      <c r="E77" t="s">
        <v>209</v>
      </c>
      <c r="F77" t="s">
        <v>389</v>
      </c>
      <c r="G77" t="s">
        <v>390</v>
      </c>
      <c r="H77" t="s">
        <v>41</v>
      </c>
      <c r="I77" t="s">
        <v>26</v>
      </c>
      <c r="J77" t="s">
        <v>205</v>
      </c>
      <c r="K77" t="s">
        <v>110</v>
      </c>
      <c r="L77" s="3">
        <v>77041</v>
      </c>
      <c r="M77" t="s">
        <v>111</v>
      </c>
      <c r="N77" t="s">
        <v>391</v>
      </c>
      <c r="O77" t="s">
        <v>46</v>
      </c>
      <c r="P77" t="s">
        <v>77</v>
      </c>
      <c r="Q77" t="s">
        <v>392</v>
      </c>
      <c r="R77" s="2">
        <v>1.248</v>
      </c>
      <c r="S77" s="3">
        <v>3</v>
      </c>
      <c r="T77" s="2">
        <v>0.8</v>
      </c>
      <c r="U77" s="2">
        <v>-1.9343999999999999</v>
      </c>
      <c r="V77" s="7">
        <f t="shared" si="2"/>
        <v>-1.5499999999999998</v>
      </c>
      <c r="W77" s="3">
        <f t="shared" si="3"/>
        <v>2</v>
      </c>
    </row>
    <row r="78" spans="1:23" x14ac:dyDescent="0.35">
      <c r="A78" s="3">
        <v>77</v>
      </c>
      <c r="B78" t="s">
        <v>388</v>
      </c>
      <c r="C78" s="4">
        <v>43078</v>
      </c>
      <c r="D78" s="4">
        <v>43080</v>
      </c>
      <c r="E78" t="s">
        <v>209</v>
      </c>
      <c r="F78" t="s">
        <v>389</v>
      </c>
      <c r="G78" t="s">
        <v>390</v>
      </c>
      <c r="H78" t="s">
        <v>41</v>
      </c>
      <c r="I78" t="s">
        <v>26</v>
      </c>
      <c r="J78" t="s">
        <v>205</v>
      </c>
      <c r="K78" t="s">
        <v>110</v>
      </c>
      <c r="L78" s="3">
        <v>77041</v>
      </c>
      <c r="M78" t="s">
        <v>111</v>
      </c>
      <c r="N78" t="s">
        <v>393</v>
      </c>
      <c r="O78" t="s">
        <v>31</v>
      </c>
      <c r="P78" t="s">
        <v>67</v>
      </c>
      <c r="Q78" t="s">
        <v>394</v>
      </c>
      <c r="R78" s="2">
        <v>9.7080000000000002</v>
      </c>
      <c r="S78" s="3">
        <v>3</v>
      </c>
      <c r="T78" s="2">
        <v>0.6</v>
      </c>
      <c r="U78" s="2">
        <v>-5.8247999999999998</v>
      </c>
      <c r="V78" s="7">
        <f t="shared" si="2"/>
        <v>-0.6</v>
      </c>
      <c r="W78" s="3">
        <f t="shared" si="3"/>
        <v>2</v>
      </c>
    </row>
    <row r="79" spans="1:23" x14ac:dyDescent="0.35">
      <c r="A79" s="3">
        <v>78</v>
      </c>
      <c r="B79" t="s">
        <v>388</v>
      </c>
      <c r="C79" s="4">
        <v>43078</v>
      </c>
      <c r="D79" s="4">
        <v>43080</v>
      </c>
      <c r="E79" t="s">
        <v>209</v>
      </c>
      <c r="F79" t="s">
        <v>389</v>
      </c>
      <c r="G79" t="s">
        <v>390</v>
      </c>
      <c r="H79" t="s">
        <v>41</v>
      </c>
      <c r="I79" t="s">
        <v>26</v>
      </c>
      <c r="J79" t="s">
        <v>205</v>
      </c>
      <c r="K79" t="s">
        <v>110</v>
      </c>
      <c r="L79" s="3">
        <v>77041</v>
      </c>
      <c r="M79" t="s">
        <v>111</v>
      </c>
      <c r="N79" t="s">
        <v>395</v>
      </c>
      <c r="O79" t="s">
        <v>46</v>
      </c>
      <c r="P79" t="s">
        <v>60</v>
      </c>
      <c r="Q79" t="s">
        <v>396</v>
      </c>
      <c r="R79" s="2">
        <v>27.24</v>
      </c>
      <c r="S79" s="3">
        <v>3</v>
      </c>
      <c r="T79" s="2">
        <v>0.2</v>
      </c>
      <c r="U79" s="2">
        <v>2.7240000000000002</v>
      </c>
      <c r="V79" s="7">
        <f t="shared" si="2"/>
        <v>0.10000000000000002</v>
      </c>
      <c r="W79" s="3">
        <f t="shared" si="3"/>
        <v>2</v>
      </c>
    </row>
    <row r="80" spans="1:23" x14ac:dyDescent="0.35">
      <c r="A80" s="3">
        <v>79</v>
      </c>
      <c r="B80" t="s">
        <v>397</v>
      </c>
      <c r="C80" s="4">
        <v>41969</v>
      </c>
      <c r="D80" s="4">
        <v>41974</v>
      </c>
      <c r="E80" t="s">
        <v>22</v>
      </c>
      <c r="F80" t="s">
        <v>378</v>
      </c>
      <c r="G80" t="s">
        <v>379</v>
      </c>
      <c r="H80" t="s">
        <v>25</v>
      </c>
      <c r="I80" t="s">
        <v>26</v>
      </c>
      <c r="J80" t="s">
        <v>205</v>
      </c>
      <c r="K80" t="s">
        <v>110</v>
      </c>
      <c r="L80" s="3">
        <v>77070</v>
      </c>
      <c r="M80" t="s">
        <v>111</v>
      </c>
      <c r="N80" t="s">
        <v>399</v>
      </c>
      <c r="O80" t="s">
        <v>31</v>
      </c>
      <c r="P80" t="s">
        <v>67</v>
      </c>
      <c r="Q80" t="s">
        <v>400</v>
      </c>
      <c r="R80" s="2">
        <v>19.3</v>
      </c>
      <c r="S80" s="3">
        <v>5</v>
      </c>
      <c r="T80" s="2">
        <v>0.6</v>
      </c>
      <c r="U80" s="2">
        <v>-14.475</v>
      </c>
      <c r="V80" s="7">
        <f t="shared" si="2"/>
        <v>-0.75</v>
      </c>
      <c r="W80" s="3">
        <f t="shared" si="3"/>
        <v>5</v>
      </c>
    </row>
    <row r="81" spans="1:23" x14ac:dyDescent="0.35">
      <c r="A81" s="3">
        <v>80</v>
      </c>
      <c r="B81" t="s">
        <v>401</v>
      </c>
      <c r="C81" s="4">
        <v>42533</v>
      </c>
      <c r="D81" s="4">
        <v>42536</v>
      </c>
      <c r="E81" t="s">
        <v>209</v>
      </c>
      <c r="F81" t="s">
        <v>403</v>
      </c>
      <c r="G81" t="s">
        <v>404</v>
      </c>
      <c r="H81" t="s">
        <v>41</v>
      </c>
      <c r="I81" t="s">
        <v>26</v>
      </c>
      <c r="J81" t="s">
        <v>405</v>
      </c>
      <c r="K81" t="s">
        <v>406</v>
      </c>
      <c r="L81" s="3">
        <v>35601</v>
      </c>
      <c r="M81" t="s">
        <v>29</v>
      </c>
      <c r="N81" t="s">
        <v>407</v>
      </c>
      <c r="O81" t="s">
        <v>46</v>
      </c>
      <c r="P81" t="s">
        <v>80</v>
      </c>
      <c r="Q81" t="s">
        <v>408</v>
      </c>
      <c r="R81" s="2">
        <v>208.16</v>
      </c>
      <c r="S81" s="3">
        <v>1</v>
      </c>
      <c r="T81" s="2">
        <v>0</v>
      </c>
      <c r="U81" s="2">
        <v>56.203200000000002</v>
      </c>
      <c r="V81" s="7">
        <f t="shared" si="2"/>
        <v>0.27</v>
      </c>
      <c r="W81" s="3">
        <f t="shared" si="3"/>
        <v>3</v>
      </c>
    </row>
    <row r="82" spans="1:23" x14ac:dyDescent="0.35">
      <c r="A82" s="3">
        <v>81</v>
      </c>
      <c r="B82" t="s">
        <v>401</v>
      </c>
      <c r="C82" s="4">
        <v>42533</v>
      </c>
      <c r="D82" s="4">
        <v>42536</v>
      </c>
      <c r="E82" t="s">
        <v>209</v>
      </c>
      <c r="F82" t="s">
        <v>403</v>
      </c>
      <c r="G82" t="s">
        <v>404</v>
      </c>
      <c r="H82" t="s">
        <v>41</v>
      </c>
      <c r="I82" t="s">
        <v>26</v>
      </c>
      <c r="J82" t="s">
        <v>405</v>
      </c>
      <c r="K82" t="s">
        <v>406</v>
      </c>
      <c r="L82" s="3">
        <v>35601</v>
      </c>
      <c r="M82" t="s">
        <v>29</v>
      </c>
      <c r="N82" t="s">
        <v>409</v>
      </c>
      <c r="O82" t="s">
        <v>46</v>
      </c>
      <c r="P82" t="s">
        <v>77</v>
      </c>
      <c r="Q82" t="s">
        <v>410</v>
      </c>
      <c r="R82" s="2">
        <v>16.739999999999998</v>
      </c>
      <c r="S82" s="3">
        <v>3</v>
      </c>
      <c r="T82" s="2">
        <v>0</v>
      </c>
      <c r="U82" s="2">
        <v>8.0351999999999997</v>
      </c>
      <c r="V82" s="7">
        <f t="shared" si="2"/>
        <v>0.48000000000000004</v>
      </c>
      <c r="W82" s="3">
        <f t="shared" si="3"/>
        <v>3</v>
      </c>
    </row>
    <row r="83" spans="1:23" x14ac:dyDescent="0.35">
      <c r="A83" s="3">
        <v>82</v>
      </c>
      <c r="B83" t="s">
        <v>411</v>
      </c>
      <c r="C83" s="4">
        <v>41924</v>
      </c>
      <c r="D83" s="4">
        <v>41928</v>
      </c>
      <c r="E83" t="s">
        <v>51</v>
      </c>
      <c r="F83" t="s">
        <v>413</v>
      </c>
      <c r="G83" t="s">
        <v>414</v>
      </c>
      <c r="H83" t="s">
        <v>25</v>
      </c>
      <c r="I83" t="s">
        <v>26</v>
      </c>
      <c r="J83" t="s">
        <v>137</v>
      </c>
      <c r="K83" t="s">
        <v>43</v>
      </c>
      <c r="L83" s="3">
        <v>94122</v>
      </c>
      <c r="M83" t="s">
        <v>44</v>
      </c>
      <c r="N83" t="s">
        <v>415</v>
      </c>
      <c r="O83" t="s">
        <v>46</v>
      </c>
      <c r="P83" t="s">
        <v>70</v>
      </c>
      <c r="Q83" t="s">
        <v>416</v>
      </c>
      <c r="R83" s="2">
        <v>14.9</v>
      </c>
      <c r="S83" s="3">
        <v>5</v>
      </c>
      <c r="T83" s="2">
        <v>0</v>
      </c>
      <c r="U83" s="2">
        <v>4.1719999999999997</v>
      </c>
      <c r="V83" s="7">
        <f t="shared" si="2"/>
        <v>0.27999999999999997</v>
      </c>
      <c r="W83" s="3">
        <f t="shared" si="3"/>
        <v>4</v>
      </c>
    </row>
    <row r="84" spans="1:23" x14ac:dyDescent="0.35">
      <c r="A84" s="3">
        <v>83</v>
      </c>
      <c r="B84" t="s">
        <v>411</v>
      </c>
      <c r="C84" s="4">
        <v>41924</v>
      </c>
      <c r="D84" s="4">
        <v>41928</v>
      </c>
      <c r="E84" t="s">
        <v>51</v>
      </c>
      <c r="F84" t="s">
        <v>413</v>
      </c>
      <c r="G84" t="s">
        <v>414</v>
      </c>
      <c r="H84" t="s">
        <v>25</v>
      </c>
      <c r="I84" t="s">
        <v>26</v>
      </c>
      <c r="J84" t="s">
        <v>137</v>
      </c>
      <c r="K84" t="s">
        <v>43</v>
      </c>
      <c r="L84" s="3">
        <v>94122</v>
      </c>
      <c r="M84" t="s">
        <v>44</v>
      </c>
      <c r="N84" t="s">
        <v>417</v>
      </c>
      <c r="O84" t="s">
        <v>46</v>
      </c>
      <c r="P84" t="s">
        <v>60</v>
      </c>
      <c r="Q84" t="s">
        <v>418</v>
      </c>
      <c r="R84" s="2">
        <v>21.39</v>
      </c>
      <c r="S84" s="3">
        <v>1</v>
      </c>
      <c r="T84" s="2">
        <v>0</v>
      </c>
      <c r="U84" s="2">
        <v>6.2031000000000001</v>
      </c>
      <c r="V84" s="7">
        <f t="shared" si="2"/>
        <v>0.28999999999999998</v>
      </c>
      <c r="W84" s="3">
        <f t="shared" si="3"/>
        <v>4</v>
      </c>
    </row>
    <row r="85" spans="1:23" x14ac:dyDescent="0.35">
      <c r="A85" s="3">
        <v>84</v>
      </c>
      <c r="B85" t="s">
        <v>419</v>
      </c>
      <c r="C85" s="4">
        <v>42250</v>
      </c>
      <c r="D85" s="4">
        <v>42255</v>
      </c>
      <c r="E85" t="s">
        <v>51</v>
      </c>
      <c r="F85" t="s">
        <v>420</v>
      </c>
      <c r="G85" t="s">
        <v>421</v>
      </c>
      <c r="H85" t="s">
        <v>41</v>
      </c>
      <c r="I85" t="s">
        <v>26</v>
      </c>
      <c r="J85" t="s">
        <v>422</v>
      </c>
      <c r="K85" t="s">
        <v>92</v>
      </c>
      <c r="L85" s="3">
        <v>27707</v>
      </c>
      <c r="M85" t="s">
        <v>29</v>
      </c>
      <c r="N85" t="s">
        <v>423</v>
      </c>
      <c r="O85" t="s">
        <v>46</v>
      </c>
      <c r="P85" t="s">
        <v>192</v>
      </c>
      <c r="Q85" t="s">
        <v>424</v>
      </c>
      <c r="R85" s="2">
        <v>200.98400000000001</v>
      </c>
      <c r="S85" s="3">
        <v>7</v>
      </c>
      <c r="T85" s="2">
        <v>0.2</v>
      </c>
      <c r="U85" s="2">
        <v>62.807499999999997</v>
      </c>
      <c r="V85" s="7">
        <f t="shared" si="2"/>
        <v>0.3125</v>
      </c>
      <c r="W85" s="3">
        <f t="shared" si="3"/>
        <v>5</v>
      </c>
    </row>
    <row r="86" spans="1:23" x14ac:dyDescent="0.35">
      <c r="A86" s="3">
        <v>85</v>
      </c>
      <c r="B86" t="s">
        <v>425</v>
      </c>
      <c r="C86" s="4">
        <v>43052</v>
      </c>
      <c r="D86" s="4">
        <v>43055</v>
      </c>
      <c r="E86" t="s">
        <v>209</v>
      </c>
      <c r="F86" t="s">
        <v>428</v>
      </c>
      <c r="G86" t="s">
        <v>429</v>
      </c>
      <c r="H86" t="s">
        <v>108</v>
      </c>
      <c r="I86" t="s">
        <v>26</v>
      </c>
      <c r="J86" t="s">
        <v>344</v>
      </c>
      <c r="K86" t="s">
        <v>235</v>
      </c>
      <c r="L86" s="3">
        <v>60623</v>
      </c>
      <c r="M86" t="s">
        <v>111</v>
      </c>
      <c r="N86" t="s">
        <v>430</v>
      </c>
      <c r="O86" t="s">
        <v>46</v>
      </c>
      <c r="P86" t="s">
        <v>60</v>
      </c>
      <c r="Q86" t="s">
        <v>431</v>
      </c>
      <c r="R86" s="2">
        <v>230.376</v>
      </c>
      <c r="S86" s="3">
        <v>3</v>
      </c>
      <c r="T86" s="2">
        <v>0.2</v>
      </c>
      <c r="U86" s="2">
        <v>-48.954900000000002</v>
      </c>
      <c r="V86" s="7">
        <f t="shared" si="2"/>
        <v>-0.21249999999999999</v>
      </c>
      <c r="W86" s="3">
        <f t="shared" si="3"/>
        <v>3</v>
      </c>
    </row>
    <row r="87" spans="1:23" x14ac:dyDescent="0.35">
      <c r="A87" s="3">
        <v>86</v>
      </c>
      <c r="B87" t="s">
        <v>432</v>
      </c>
      <c r="C87" s="4">
        <v>42883</v>
      </c>
      <c r="D87" s="4">
        <v>42885</v>
      </c>
      <c r="E87" t="s">
        <v>22</v>
      </c>
      <c r="F87" t="s">
        <v>266</v>
      </c>
      <c r="G87" t="s">
        <v>267</v>
      </c>
      <c r="H87" t="s">
        <v>25</v>
      </c>
      <c r="I87" t="s">
        <v>26</v>
      </c>
      <c r="J87" t="s">
        <v>435</v>
      </c>
      <c r="K87" t="s">
        <v>436</v>
      </c>
      <c r="L87" s="3">
        <v>29203</v>
      </c>
      <c r="M87" t="s">
        <v>29</v>
      </c>
      <c r="N87" t="s">
        <v>437</v>
      </c>
      <c r="O87" t="s">
        <v>31</v>
      </c>
      <c r="P87" t="s">
        <v>35</v>
      </c>
      <c r="Q87" t="s">
        <v>438</v>
      </c>
      <c r="R87" s="2">
        <v>301.95999999999998</v>
      </c>
      <c r="S87" s="3">
        <v>2</v>
      </c>
      <c r="T87" s="2">
        <v>0</v>
      </c>
      <c r="U87" s="2">
        <v>33.215600000000002</v>
      </c>
      <c r="V87" s="7">
        <f t="shared" si="2"/>
        <v>0.11000000000000001</v>
      </c>
      <c r="W87" s="3">
        <f t="shared" si="3"/>
        <v>2</v>
      </c>
    </row>
    <row r="88" spans="1:23" x14ac:dyDescent="0.35">
      <c r="A88" s="3">
        <v>87</v>
      </c>
      <c r="B88" t="s">
        <v>439</v>
      </c>
      <c r="C88" s="4">
        <v>43034</v>
      </c>
      <c r="D88" s="4">
        <v>43041</v>
      </c>
      <c r="E88" t="s">
        <v>51</v>
      </c>
      <c r="F88" t="s">
        <v>441</v>
      </c>
      <c r="G88" t="s">
        <v>442</v>
      </c>
      <c r="H88" t="s">
        <v>25</v>
      </c>
      <c r="I88" t="s">
        <v>26</v>
      </c>
      <c r="J88" t="s">
        <v>443</v>
      </c>
      <c r="K88" t="s">
        <v>258</v>
      </c>
      <c r="L88" s="3">
        <v>55901</v>
      </c>
      <c r="M88" t="s">
        <v>111</v>
      </c>
      <c r="N88" t="s">
        <v>444</v>
      </c>
      <c r="O88" t="s">
        <v>73</v>
      </c>
      <c r="P88" t="s">
        <v>178</v>
      </c>
      <c r="Q88" t="s">
        <v>445</v>
      </c>
      <c r="R88" s="2">
        <v>19.989999999999998</v>
      </c>
      <c r="S88" s="3">
        <v>1</v>
      </c>
      <c r="T88" s="2">
        <v>0</v>
      </c>
      <c r="U88" s="2">
        <v>6.7965999999999998</v>
      </c>
      <c r="V88" s="7">
        <f t="shared" si="2"/>
        <v>0.34</v>
      </c>
      <c r="W88" s="3">
        <f t="shared" si="3"/>
        <v>7</v>
      </c>
    </row>
    <row r="89" spans="1:23" x14ac:dyDescent="0.35">
      <c r="A89" s="3">
        <v>88</v>
      </c>
      <c r="B89" t="s">
        <v>439</v>
      </c>
      <c r="C89" s="4">
        <v>43034</v>
      </c>
      <c r="D89" s="4">
        <v>43041</v>
      </c>
      <c r="E89" t="s">
        <v>51</v>
      </c>
      <c r="F89" t="s">
        <v>441</v>
      </c>
      <c r="G89" t="s">
        <v>442</v>
      </c>
      <c r="H89" t="s">
        <v>25</v>
      </c>
      <c r="I89" t="s">
        <v>26</v>
      </c>
      <c r="J89" t="s">
        <v>443</v>
      </c>
      <c r="K89" t="s">
        <v>258</v>
      </c>
      <c r="L89" s="3">
        <v>55901</v>
      </c>
      <c r="M89" t="s">
        <v>111</v>
      </c>
      <c r="N89" t="s">
        <v>446</v>
      </c>
      <c r="O89" t="s">
        <v>46</v>
      </c>
      <c r="P89" t="s">
        <v>47</v>
      </c>
      <c r="Q89" t="s">
        <v>447</v>
      </c>
      <c r="R89" s="2">
        <v>6.16</v>
      </c>
      <c r="S89" s="3">
        <v>2</v>
      </c>
      <c r="T89" s="2">
        <v>0</v>
      </c>
      <c r="U89" s="2">
        <v>2.9567999999999999</v>
      </c>
      <c r="V89" s="7">
        <f t="shared" si="2"/>
        <v>0.48</v>
      </c>
      <c r="W89" s="3">
        <f t="shared" si="3"/>
        <v>7</v>
      </c>
    </row>
    <row r="90" spans="1:23" x14ac:dyDescent="0.35">
      <c r="A90" s="3">
        <v>89</v>
      </c>
      <c r="B90" t="s">
        <v>448</v>
      </c>
      <c r="C90" s="4">
        <v>42465</v>
      </c>
      <c r="D90" s="4">
        <v>42470</v>
      </c>
      <c r="E90" t="s">
        <v>22</v>
      </c>
      <c r="F90" t="s">
        <v>449</v>
      </c>
      <c r="G90" t="s">
        <v>450</v>
      </c>
      <c r="H90" t="s">
        <v>108</v>
      </c>
      <c r="I90" t="s">
        <v>26</v>
      </c>
      <c r="J90" t="s">
        <v>205</v>
      </c>
      <c r="K90" t="s">
        <v>110</v>
      </c>
      <c r="L90" s="3">
        <v>77095</v>
      </c>
      <c r="M90" t="s">
        <v>111</v>
      </c>
      <c r="N90" t="s">
        <v>451</v>
      </c>
      <c r="O90" t="s">
        <v>46</v>
      </c>
      <c r="P90" t="s">
        <v>60</v>
      </c>
      <c r="Q90" t="s">
        <v>452</v>
      </c>
      <c r="R90" s="2">
        <v>158.36799999999999</v>
      </c>
      <c r="S90" s="3">
        <v>7</v>
      </c>
      <c r="T90" s="2">
        <v>0.2</v>
      </c>
      <c r="U90" s="2">
        <v>13.857200000000001</v>
      </c>
      <c r="V90" s="7">
        <f t="shared" si="2"/>
        <v>8.7500000000000008E-2</v>
      </c>
      <c r="W90" s="3">
        <f t="shared" si="3"/>
        <v>5</v>
      </c>
    </row>
    <row r="91" spans="1:23" x14ac:dyDescent="0.35">
      <c r="A91" s="3">
        <v>90</v>
      </c>
      <c r="B91" t="s">
        <v>453</v>
      </c>
      <c r="C91" s="4">
        <v>42630</v>
      </c>
      <c r="D91" s="4">
        <v>42635</v>
      </c>
      <c r="E91" t="s">
        <v>51</v>
      </c>
      <c r="F91" t="s">
        <v>456</v>
      </c>
      <c r="G91" t="s">
        <v>457</v>
      </c>
      <c r="H91" t="s">
        <v>41</v>
      </c>
      <c r="I91" t="s">
        <v>26</v>
      </c>
      <c r="J91" t="s">
        <v>42</v>
      </c>
      <c r="K91" t="s">
        <v>43</v>
      </c>
      <c r="L91" s="3">
        <v>90036</v>
      </c>
      <c r="M91" t="s">
        <v>44</v>
      </c>
      <c r="N91" t="s">
        <v>458</v>
      </c>
      <c r="O91" t="s">
        <v>46</v>
      </c>
      <c r="P91" t="s">
        <v>70</v>
      </c>
      <c r="Q91" t="s">
        <v>459</v>
      </c>
      <c r="R91" s="2">
        <v>20.100000000000001</v>
      </c>
      <c r="S91" s="3">
        <v>3</v>
      </c>
      <c r="T91" s="2">
        <v>0</v>
      </c>
      <c r="U91" s="2">
        <v>6.633</v>
      </c>
      <c r="V91" s="7">
        <f t="shared" si="2"/>
        <v>0.32999999999999996</v>
      </c>
      <c r="W91" s="3">
        <f t="shared" si="3"/>
        <v>5</v>
      </c>
    </row>
    <row r="92" spans="1:23" x14ac:dyDescent="0.35">
      <c r="A92" s="3">
        <v>91</v>
      </c>
      <c r="B92" t="s">
        <v>453</v>
      </c>
      <c r="C92" s="4">
        <v>42630</v>
      </c>
      <c r="D92" s="4">
        <v>42635</v>
      </c>
      <c r="E92" t="s">
        <v>51</v>
      </c>
      <c r="F92" t="s">
        <v>456</v>
      </c>
      <c r="G92" t="s">
        <v>457</v>
      </c>
      <c r="H92" t="s">
        <v>41</v>
      </c>
      <c r="I92" t="s">
        <v>26</v>
      </c>
      <c r="J92" t="s">
        <v>42</v>
      </c>
      <c r="K92" t="s">
        <v>43</v>
      </c>
      <c r="L92" s="3">
        <v>90036</v>
      </c>
      <c r="M92" t="s">
        <v>44</v>
      </c>
      <c r="N92" t="s">
        <v>236</v>
      </c>
      <c r="O92" t="s">
        <v>73</v>
      </c>
      <c r="P92" t="s">
        <v>74</v>
      </c>
      <c r="Q92" t="s">
        <v>237</v>
      </c>
      <c r="R92" s="2">
        <v>73.584000000000003</v>
      </c>
      <c r="S92" s="3">
        <v>2</v>
      </c>
      <c r="T92" s="2">
        <v>0.2</v>
      </c>
      <c r="U92" s="2">
        <v>8.2782</v>
      </c>
      <c r="V92" s="7">
        <f t="shared" si="2"/>
        <v>0.11249999999999999</v>
      </c>
      <c r="W92" s="3">
        <f t="shared" si="3"/>
        <v>5</v>
      </c>
    </row>
    <row r="93" spans="1:23" x14ac:dyDescent="0.35">
      <c r="A93" s="3">
        <v>92</v>
      </c>
      <c r="B93" t="s">
        <v>453</v>
      </c>
      <c r="C93" s="4">
        <v>42630</v>
      </c>
      <c r="D93" s="4">
        <v>42635</v>
      </c>
      <c r="E93" t="s">
        <v>51</v>
      </c>
      <c r="F93" t="s">
        <v>456</v>
      </c>
      <c r="G93" t="s">
        <v>457</v>
      </c>
      <c r="H93" t="s">
        <v>41</v>
      </c>
      <c r="I93" t="s">
        <v>26</v>
      </c>
      <c r="J93" t="s">
        <v>42</v>
      </c>
      <c r="K93" t="s">
        <v>43</v>
      </c>
      <c r="L93" s="3">
        <v>90036</v>
      </c>
      <c r="M93" t="s">
        <v>44</v>
      </c>
      <c r="N93" t="s">
        <v>460</v>
      </c>
      <c r="O93" t="s">
        <v>46</v>
      </c>
      <c r="P93" t="s">
        <v>94</v>
      </c>
      <c r="Q93" t="s">
        <v>461</v>
      </c>
      <c r="R93" s="2">
        <v>6.48</v>
      </c>
      <c r="S93" s="3">
        <v>1</v>
      </c>
      <c r="T93" s="2">
        <v>0</v>
      </c>
      <c r="U93" s="2">
        <v>3.1103999999999998</v>
      </c>
      <c r="V93" s="7">
        <f t="shared" si="2"/>
        <v>0.47999999999999993</v>
      </c>
      <c r="W93" s="3">
        <f t="shared" si="3"/>
        <v>5</v>
      </c>
    </row>
    <row r="94" spans="1:23" x14ac:dyDescent="0.35">
      <c r="A94" s="3">
        <v>93</v>
      </c>
      <c r="B94" t="s">
        <v>462</v>
      </c>
      <c r="C94" s="4">
        <v>42035</v>
      </c>
      <c r="D94" s="4">
        <v>42040</v>
      </c>
      <c r="E94" t="s">
        <v>22</v>
      </c>
      <c r="F94" t="s">
        <v>464</v>
      </c>
      <c r="G94" t="s">
        <v>465</v>
      </c>
      <c r="H94" t="s">
        <v>25</v>
      </c>
      <c r="I94" t="s">
        <v>26</v>
      </c>
      <c r="J94" t="s">
        <v>466</v>
      </c>
      <c r="K94" t="s">
        <v>258</v>
      </c>
      <c r="L94" s="3">
        <v>55407</v>
      </c>
      <c r="M94" t="s">
        <v>111</v>
      </c>
      <c r="N94" t="s">
        <v>467</v>
      </c>
      <c r="O94" t="s">
        <v>46</v>
      </c>
      <c r="P94" t="s">
        <v>94</v>
      </c>
      <c r="Q94" t="s">
        <v>468</v>
      </c>
      <c r="R94" s="2">
        <v>12.96</v>
      </c>
      <c r="S94" s="3">
        <v>2</v>
      </c>
      <c r="T94" s="2">
        <v>0</v>
      </c>
      <c r="U94" s="2">
        <v>6.2207999999999997</v>
      </c>
      <c r="V94" s="7">
        <f t="shared" si="2"/>
        <v>0.47999999999999993</v>
      </c>
      <c r="W94" s="3">
        <f t="shared" si="3"/>
        <v>5</v>
      </c>
    </row>
    <row r="95" spans="1:23" x14ac:dyDescent="0.35">
      <c r="A95" s="3">
        <v>94</v>
      </c>
      <c r="B95" t="s">
        <v>462</v>
      </c>
      <c r="C95" s="4">
        <v>42035</v>
      </c>
      <c r="D95" s="4">
        <v>42040</v>
      </c>
      <c r="E95" t="s">
        <v>22</v>
      </c>
      <c r="F95" t="s">
        <v>464</v>
      </c>
      <c r="G95" t="s">
        <v>465</v>
      </c>
      <c r="H95" t="s">
        <v>25</v>
      </c>
      <c r="I95" t="s">
        <v>26</v>
      </c>
      <c r="J95" t="s">
        <v>466</v>
      </c>
      <c r="K95" t="s">
        <v>258</v>
      </c>
      <c r="L95" s="3">
        <v>55407</v>
      </c>
      <c r="M95" t="s">
        <v>111</v>
      </c>
      <c r="N95" t="s">
        <v>469</v>
      </c>
      <c r="O95" t="s">
        <v>31</v>
      </c>
      <c r="P95" t="s">
        <v>67</v>
      </c>
      <c r="Q95" t="s">
        <v>470</v>
      </c>
      <c r="R95" s="2">
        <v>53.34</v>
      </c>
      <c r="S95" s="3">
        <v>3</v>
      </c>
      <c r="T95" s="2">
        <v>0</v>
      </c>
      <c r="U95" s="2">
        <v>16.535399999999999</v>
      </c>
      <c r="V95" s="7">
        <f t="shared" si="2"/>
        <v>0.30999999999999994</v>
      </c>
      <c r="W95" s="3">
        <f t="shared" si="3"/>
        <v>5</v>
      </c>
    </row>
    <row r="96" spans="1:23" x14ac:dyDescent="0.35">
      <c r="A96" s="3">
        <v>95</v>
      </c>
      <c r="B96" t="s">
        <v>462</v>
      </c>
      <c r="C96" s="4">
        <v>42035</v>
      </c>
      <c r="D96" s="4">
        <v>42040</v>
      </c>
      <c r="E96" t="s">
        <v>22</v>
      </c>
      <c r="F96" t="s">
        <v>464</v>
      </c>
      <c r="G96" t="s">
        <v>465</v>
      </c>
      <c r="H96" t="s">
        <v>25</v>
      </c>
      <c r="I96" t="s">
        <v>26</v>
      </c>
      <c r="J96" t="s">
        <v>466</v>
      </c>
      <c r="K96" t="s">
        <v>258</v>
      </c>
      <c r="L96" s="3">
        <v>55407</v>
      </c>
      <c r="M96" t="s">
        <v>111</v>
      </c>
      <c r="N96" t="s">
        <v>471</v>
      </c>
      <c r="O96" t="s">
        <v>46</v>
      </c>
      <c r="P96" t="s">
        <v>77</v>
      </c>
      <c r="Q96" t="s">
        <v>472</v>
      </c>
      <c r="R96" s="2">
        <v>32.96</v>
      </c>
      <c r="S96" s="3">
        <v>2</v>
      </c>
      <c r="T96" s="2">
        <v>0</v>
      </c>
      <c r="U96" s="2">
        <v>16.150400000000001</v>
      </c>
      <c r="V96" s="7">
        <f t="shared" si="2"/>
        <v>0.49000000000000005</v>
      </c>
      <c r="W96" s="3">
        <f t="shared" si="3"/>
        <v>5</v>
      </c>
    </row>
    <row r="97" spans="1:23" x14ac:dyDescent="0.35">
      <c r="A97" s="3">
        <v>96</v>
      </c>
      <c r="B97" t="s">
        <v>473</v>
      </c>
      <c r="C97" s="4">
        <v>43045</v>
      </c>
      <c r="D97" s="4">
        <v>43051</v>
      </c>
      <c r="E97" t="s">
        <v>51</v>
      </c>
      <c r="F97" t="s">
        <v>474</v>
      </c>
      <c r="G97" t="s">
        <v>475</v>
      </c>
      <c r="H97" t="s">
        <v>108</v>
      </c>
      <c r="I97" t="s">
        <v>26</v>
      </c>
      <c r="J97" t="s">
        <v>476</v>
      </c>
      <c r="K97" t="s">
        <v>477</v>
      </c>
      <c r="L97" s="3">
        <v>97206</v>
      </c>
      <c r="M97" t="s">
        <v>44</v>
      </c>
      <c r="N97" t="s">
        <v>478</v>
      </c>
      <c r="O97" t="s">
        <v>46</v>
      </c>
      <c r="P97" t="s">
        <v>77</v>
      </c>
      <c r="Q97" t="s">
        <v>479</v>
      </c>
      <c r="R97" s="2">
        <v>5.6820000000000004</v>
      </c>
      <c r="S97" s="3">
        <v>1</v>
      </c>
      <c r="T97" s="2">
        <v>0.7</v>
      </c>
      <c r="U97" s="2">
        <v>-3.7879999999999998</v>
      </c>
      <c r="V97" s="7">
        <f t="shared" si="2"/>
        <v>-0.66666666666666663</v>
      </c>
      <c r="W97" s="3">
        <f t="shared" si="3"/>
        <v>6</v>
      </c>
    </row>
    <row r="98" spans="1:23" x14ac:dyDescent="0.35">
      <c r="A98" s="3">
        <v>97</v>
      </c>
      <c r="B98" t="s">
        <v>480</v>
      </c>
      <c r="C98" s="4">
        <v>43048</v>
      </c>
      <c r="D98" s="4">
        <v>43050</v>
      </c>
      <c r="E98" t="s">
        <v>22</v>
      </c>
      <c r="F98" t="s">
        <v>481</v>
      </c>
      <c r="G98" t="s">
        <v>482</v>
      </c>
      <c r="H98" t="s">
        <v>108</v>
      </c>
      <c r="I98" t="s">
        <v>26</v>
      </c>
      <c r="J98" t="s">
        <v>302</v>
      </c>
      <c r="K98" t="s">
        <v>303</v>
      </c>
      <c r="L98" s="3">
        <v>10009</v>
      </c>
      <c r="M98" t="s">
        <v>161</v>
      </c>
      <c r="N98" t="s">
        <v>483</v>
      </c>
      <c r="O98" t="s">
        <v>31</v>
      </c>
      <c r="P98" t="s">
        <v>67</v>
      </c>
      <c r="Q98" t="s">
        <v>484</v>
      </c>
      <c r="R98" s="2">
        <v>96.53</v>
      </c>
      <c r="S98" s="3">
        <v>7</v>
      </c>
      <c r="T98" s="2">
        <v>0</v>
      </c>
      <c r="U98" s="2">
        <v>40.5426</v>
      </c>
      <c r="V98" s="7">
        <f t="shared" si="2"/>
        <v>0.42</v>
      </c>
      <c r="W98" s="3">
        <f t="shared" si="3"/>
        <v>2</v>
      </c>
    </row>
    <row r="99" spans="1:23" x14ac:dyDescent="0.35">
      <c r="A99" s="3">
        <v>98</v>
      </c>
      <c r="B99" t="s">
        <v>485</v>
      </c>
      <c r="C99" s="4">
        <v>42903</v>
      </c>
      <c r="D99" s="4">
        <v>42906</v>
      </c>
      <c r="E99" t="s">
        <v>209</v>
      </c>
      <c r="F99" t="s">
        <v>488</v>
      </c>
      <c r="G99" t="s">
        <v>489</v>
      </c>
      <c r="H99" t="s">
        <v>25</v>
      </c>
      <c r="I99" t="s">
        <v>26</v>
      </c>
      <c r="J99" t="s">
        <v>137</v>
      </c>
      <c r="K99" t="s">
        <v>43</v>
      </c>
      <c r="L99" s="3">
        <v>94122</v>
      </c>
      <c r="M99" t="s">
        <v>44</v>
      </c>
      <c r="N99" t="s">
        <v>490</v>
      </c>
      <c r="O99" t="s">
        <v>46</v>
      </c>
      <c r="P99" t="s">
        <v>77</v>
      </c>
      <c r="Q99" t="s">
        <v>491</v>
      </c>
      <c r="R99" s="2">
        <v>51.311999999999998</v>
      </c>
      <c r="S99" s="3">
        <v>3</v>
      </c>
      <c r="T99" s="2">
        <v>0.2</v>
      </c>
      <c r="U99" s="2">
        <v>17.959199999999999</v>
      </c>
      <c r="V99" s="7">
        <f t="shared" si="2"/>
        <v>0.35</v>
      </c>
      <c r="W99" s="3">
        <f t="shared" si="3"/>
        <v>3</v>
      </c>
    </row>
    <row r="100" spans="1:23" x14ac:dyDescent="0.35">
      <c r="A100" s="3">
        <v>99</v>
      </c>
      <c r="B100" t="s">
        <v>492</v>
      </c>
      <c r="C100" s="4">
        <v>42619</v>
      </c>
      <c r="D100" s="4">
        <v>42624</v>
      </c>
      <c r="E100" t="s">
        <v>51</v>
      </c>
      <c r="F100" t="s">
        <v>493</v>
      </c>
      <c r="G100" t="s">
        <v>494</v>
      </c>
      <c r="H100" t="s">
        <v>41</v>
      </c>
      <c r="I100" t="s">
        <v>26</v>
      </c>
      <c r="J100" t="s">
        <v>495</v>
      </c>
      <c r="K100" t="s">
        <v>258</v>
      </c>
      <c r="L100" s="3">
        <v>55106</v>
      </c>
      <c r="M100" t="s">
        <v>111</v>
      </c>
      <c r="N100" t="s">
        <v>496</v>
      </c>
      <c r="O100" t="s">
        <v>46</v>
      </c>
      <c r="P100" t="s">
        <v>80</v>
      </c>
      <c r="Q100" t="s">
        <v>497</v>
      </c>
      <c r="R100" s="2">
        <v>77.88</v>
      </c>
      <c r="S100" s="3">
        <v>6</v>
      </c>
      <c r="T100" s="2">
        <v>0</v>
      </c>
      <c r="U100" s="2">
        <v>22.5852</v>
      </c>
      <c r="V100" s="7">
        <f t="shared" si="2"/>
        <v>0.29000000000000004</v>
      </c>
      <c r="W100" s="3">
        <f t="shared" si="3"/>
        <v>5</v>
      </c>
    </row>
    <row r="101" spans="1:23" x14ac:dyDescent="0.35">
      <c r="A101" s="3">
        <v>100</v>
      </c>
      <c r="B101" t="s">
        <v>498</v>
      </c>
      <c r="C101" s="4">
        <v>42611</v>
      </c>
      <c r="D101" s="4">
        <v>42615</v>
      </c>
      <c r="E101" t="s">
        <v>51</v>
      </c>
      <c r="F101" t="s">
        <v>500</v>
      </c>
      <c r="G101" t="s">
        <v>501</v>
      </c>
      <c r="H101" t="s">
        <v>108</v>
      </c>
      <c r="I101" t="s">
        <v>26</v>
      </c>
      <c r="J101" t="s">
        <v>344</v>
      </c>
      <c r="K101" t="s">
        <v>235</v>
      </c>
      <c r="L101" s="3">
        <v>60610</v>
      </c>
      <c r="M101" t="s">
        <v>111</v>
      </c>
      <c r="N101" t="s">
        <v>502</v>
      </c>
      <c r="O101" t="s">
        <v>46</v>
      </c>
      <c r="P101" t="s">
        <v>94</v>
      </c>
      <c r="Q101" t="s">
        <v>503</v>
      </c>
      <c r="R101" s="2">
        <v>64.623999999999995</v>
      </c>
      <c r="S101" s="3">
        <v>7</v>
      </c>
      <c r="T101" s="2">
        <v>0.2</v>
      </c>
      <c r="U101" s="2">
        <v>22.618400000000001</v>
      </c>
      <c r="V101" s="7">
        <f t="shared" si="2"/>
        <v>0.35000000000000003</v>
      </c>
      <c r="W101" s="3">
        <f t="shared" si="3"/>
        <v>4</v>
      </c>
    </row>
  </sheetData>
  <autoFilter ref="A1:U101" xr:uid="{26F30DBD-C62F-436D-85C2-FC1108E238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4310-4378-4772-A224-2F3C10401E0F}">
  <dimension ref="A3:C164"/>
  <sheetViews>
    <sheetView zoomScale="80" zoomScaleNormal="80" workbookViewId="0">
      <selection activeCell="Q20" sqref="Q20"/>
    </sheetView>
  </sheetViews>
  <sheetFormatPr defaultRowHeight="14.5" x14ac:dyDescent="0.35"/>
  <cols>
    <col min="1" max="1" width="23.36328125" bestFit="1" customWidth="1"/>
    <col min="2" max="2" width="16.1796875" bestFit="1" customWidth="1"/>
    <col min="3" max="3" width="29.453125" bestFit="1" customWidth="1"/>
  </cols>
  <sheetData>
    <row r="3" spans="1:2" x14ac:dyDescent="0.35">
      <c r="A3" s="5" t="s">
        <v>505</v>
      </c>
      <c r="B3" t="s">
        <v>507</v>
      </c>
    </row>
    <row r="4" spans="1:2" x14ac:dyDescent="0.35">
      <c r="A4" s="6" t="s">
        <v>111</v>
      </c>
      <c r="B4" s="2">
        <v>66.058599999999984</v>
      </c>
    </row>
    <row r="5" spans="1:2" x14ac:dyDescent="0.35">
      <c r="A5" s="6" t="s">
        <v>161</v>
      </c>
      <c r="B5" s="2">
        <v>-1188.4077</v>
      </c>
    </row>
    <row r="6" spans="1:2" x14ac:dyDescent="0.35">
      <c r="A6" s="6" t="s">
        <v>29</v>
      </c>
      <c r="B6" s="2">
        <v>-39.463299999999997</v>
      </c>
    </row>
    <row r="7" spans="1:2" x14ac:dyDescent="0.35">
      <c r="A7" s="6" t="s">
        <v>44</v>
      </c>
      <c r="B7" s="2">
        <v>1059.9217000000001</v>
      </c>
    </row>
    <row r="8" spans="1:2" x14ac:dyDescent="0.35">
      <c r="A8" s="6" t="s">
        <v>506</v>
      </c>
      <c r="B8" s="2">
        <v>-101.8906999999997</v>
      </c>
    </row>
    <row r="20" spans="1:2" x14ac:dyDescent="0.35">
      <c r="A20" s="5" t="s">
        <v>505</v>
      </c>
      <c r="B20" t="s">
        <v>507</v>
      </c>
    </row>
    <row r="21" spans="1:2" x14ac:dyDescent="0.35">
      <c r="A21" s="6" t="s">
        <v>351</v>
      </c>
      <c r="B21" s="2">
        <v>174.29040000000001</v>
      </c>
    </row>
    <row r="22" spans="1:2" x14ac:dyDescent="0.35">
      <c r="A22" s="6" t="s">
        <v>43</v>
      </c>
      <c r="B22" s="2">
        <v>506.57220000000012</v>
      </c>
    </row>
    <row r="23" spans="1:2" x14ac:dyDescent="0.35">
      <c r="A23" s="6" t="s">
        <v>28</v>
      </c>
      <c r="B23" s="2">
        <v>261.49559999999997</v>
      </c>
    </row>
    <row r="24" spans="1:2" x14ac:dyDescent="0.35">
      <c r="A24" s="6" t="s">
        <v>303</v>
      </c>
      <c r="B24" s="2">
        <v>449.49650000000003</v>
      </c>
    </row>
    <row r="25" spans="1:2" x14ac:dyDescent="0.35">
      <c r="A25" s="6" t="s">
        <v>130</v>
      </c>
      <c r="B25" s="2">
        <v>250.25490000000002</v>
      </c>
    </row>
    <row r="26" spans="1:2" x14ac:dyDescent="0.35">
      <c r="A26" s="6" t="s">
        <v>506</v>
      </c>
      <c r="B26" s="2">
        <v>1642.1096000000002</v>
      </c>
    </row>
    <row r="40" spans="1:2" x14ac:dyDescent="0.35">
      <c r="A40" s="5" t="s">
        <v>505</v>
      </c>
      <c r="B40" t="s">
        <v>507</v>
      </c>
    </row>
    <row r="41" spans="1:2" x14ac:dyDescent="0.35">
      <c r="A41" s="6" t="s">
        <v>31</v>
      </c>
      <c r="B41" s="2">
        <v>-1651.3463000000004</v>
      </c>
    </row>
    <row r="42" spans="1:2" x14ac:dyDescent="0.35">
      <c r="A42" s="6" t="s">
        <v>46</v>
      </c>
      <c r="B42" s="2">
        <v>763.78710000000024</v>
      </c>
    </row>
    <row r="43" spans="1:2" x14ac:dyDescent="0.35">
      <c r="A43" s="6" t="s">
        <v>73</v>
      </c>
      <c r="B43" s="2">
        <v>785.66849999999988</v>
      </c>
    </row>
    <row r="44" spans="1:2" x14ac:dyDescent="0.35">
      <c r="A44" s="6" t="s">
        <v>506</v>
      </c>
      <c r="B44" s="2">
        <v>-101.89070000000027</v>
      </c>
    </row>
    <row r="55" spans="1:2" x14ac:dyDescent="0.35">
      <c r="A55" s="5" t="s">
        <v>505</v>
      </c>
      <c r="B55" t="s">
        <v>508</v>
      </c>
    </row>
    <row r="56" spans="1:2" x14ac:dyDescent="0.35">
      <c r="A56" s="6" t="s">
        <v>31</v>
      </c>
      <c r="B56" s="2">
        <v>11083.779699999999</v>
      </c>
    </row>
    <row r="57" spans="1:2" x14ac:dyDescent="0.35">
      <c r="A57" s="6" t="s">
        <v>46</v>
      </c>
      <c r="B57" s="2">
        <v>5233.9939999999997</v>
      </c>
    </row>
    <row r="58" spans="1:2" x14ac:dyDescent="0.35">
      <c r="A58" s="6" t="s">
        <v>73</v>
      </c>
      <c r="B58" s="2">
        <v>5186.7579999999998</v>
      </c>
    </row>
    <row r="59" spans="1:2" x14ac:dyDescent="0.35">
      <c r="A59" s="6" t="s">
        <v>506</v>
      </c>
      <c r="B59" s="2">
        <v>21504.5317</v>
      </c>
    </row>
    <row r="73" spans="1:2" x14ac:dyDescent="0.35">
      <c r="A73" s="5" t="s">
        <v>505</v>
      </c>
      <c r="B73" t="s">
        <v>508</v>
      </c>
    </row>
    <row r="74" spans="1:2" x14ac:dyDescent="0.35">
      <c r="A74" s="6" t="s">
        <v>349</v>
      </c>
      <c r="B74" s="2">
        <v>1280.992</v>
      </c>
    </row>
    <row r="75" spans="1:2" x14ac:dyDescent="0.35">
      <c r="A75" s="6" t="s">
        <v>65</v>
      </c>
      <c r="B75" s="2">
        <v>3714.3040000000001</v>
      </c>
    </row>
    <row r="76" spans="1:2" x14ac:dyDescent="0.35">
      <c r="A76" s="6" t="s">
        <v>211</v>
      </c>
      <c r="B76" s="2">
        <v>1288.4640000000002</v>
      </c>
    </row>
    <row r="77" spans="1:2" x14ac:dyDescent="0.35">
      <c r="A77" s="6" t="s">
        <v>221</v>
      </c>
      <c r="B77" s="2">
        <v>1228.9531999999999</v>
      </c>
    </row>
    <row r="78" spans="1:2" x14ac:dyDescent="0.35">
      <c r="A78" s="6" t="s">
        <v>184</v>
      </c>
      <c r="B78" s="2">
        <v>3348.4840000000004</v>
      </c>
    </row>
    <row r="79" spans="1:2" x14ac:dyDescent="0.35">
      <c r="A79" s="6" t="s">
        <v>506</v>
      </c>
      <c r="B79" s="2">
        <v>10861.197200000001</v>
      </c>
    </row>
    <row r="93" spans="1:2" x14ac:dyDescent="0.35">
      <c r="A93" s="5" t="s">
        <v>505</v>
      </c>
      <c r="B93" t="s">
        <v>508</v>
      </c>
    </row>
    <row r="94" spans="1:2" x14ac:dyDescent="0.35">
      <c r="A94" s="6" t="s">
        <v>509</v>
      </c>
      <c r="B94" s="2">
        <v>6228.9859999999999</v>
      </c>
    </row>
    <row r="95" spans="1:2" x14ac:dyDescent="0.35">
      <c r="A95" s="6" t="s">
        <v>510</v>
      </c>
      <c r="B95" s="2">
        <v>8645.2796999999991</v>
      </c>
    </row>
    <row r="96" spans="1:2" x14ac:dyDescent="0.35">
      <c r="A96" s="6" t="s">
        <v>511</v>
      </c>
      <c r="B96" s="2">
        <v>5501.8300000000008</v>
      </c>
    </row>
    <row r="97" spans="1:2" x14ac:dyDescent="0.35">
      <c r="A97" s="6" t="s">
        <v>512</v>
      </c>
      <c r="B97" s="2">
        <v>1128.4359999999999</v>
      </c>
    </row>
    <row r="98" spans="1:2" x14ac:dyDescent="0.35">
      <c r="A98" s="6" t="s">
        <v>506</v>
      </c>
      <c r="B98" s="2">
        <v>21504.531700000003</v>
      </c>
    </row>
    <row r="109" spans="1:2" x14ac:dyDescent="0.35">
      <c r="A109" s="5" t="s">
        <v>505</v>
      </c>
      <c r="B109" t="s">
        <v>513</v>
      </c>
    </row>
    <row r="110" spans="1:2" x14ac:dyDescent="0.35">
      <c r="A110" s="6" t="s">
        <v>25</v>
      </c>
      <c r="B110">
        <v>63</v>
      </c>
    </row>
    <row r="111" spans="1:2" x14ac:dyDescent="0.35">
      <c r="A111" s="6" t="s">
        <v>41</v>
      </c>
      <c r="B111">
        <v>24</v>
      </c>
    </row>
    <row r="112" spans="1:2" x14ac:dyDescent="0.35">
      <c r="A112" s="6" t="s">
        <v>108</v>
      </c>
      <c r="B112">
        <v>13</v>
      </c>
    </row>
    <row r="113" spans="1:2" x14ac:dyDescent="0.35">
      <c r="A113" s="6" t="s">
        <v>506</v>
      </c>
      <c r="B113">
        <v>100</v>
      </c>
    </row>
    <row r="126" spans="1:2" x14ac:dyDescent="0.35">
      <c r="A126" s="5" t="s">
        <v>505</v>
      </c>
      <c r="B126" t="s">
        <v>514</v>
      </c>
    </row>
    <row r="127" spans="1:2" x14ac:dyDescent="0.35">
      <c r="A127" s="6" t="s">
        <v>31</v>
      </c>
      <c r="B127" s="2">
        <v>0.20291666666666663</v>
      </c>
    </row>
    <row r="128" spans="1:2" x14ac:dyDescent="0.35">
      <c r="A128" s="6" t="s">
        <v>46</v>
      </c>
      <c r="B128" s="2">
        <v>0.1516666666666667</v>
      </c>
    </row>
    <row r="129" spans="1:3" x14ac:dyDescent="0.35">
      <c r="A129" s="6" t="s">
        <v>73</v>
      </c>
      <c r="B129" s="2">
        <v>9.9999999999999992E-2</v>
      </c>
    </row>
    <row r="130" spans="1:3" x14ac:dyDescent="0.35">
      <c r="A130" s="6" t="s">
        <v>506</v>
      </c>
      <c r="B130" s="2">
        <v>0.15569999999999981</v>
      </c>
    </row>
    <row r="143" spans="1:3" x14ac:dyDescent="0.35">
      <c r="A143" s="5" t="s">
        <v>505</v>
      </c>
      <c r="B143" t="s">
        <v>517</v>
      </c>
      <c r="C143" t="s">
        <v>516</v>
      </c>
    </row>
    <row r="144" spans="1:3" x14ac:dyDescent="0.35">
      <c r="A144" s="6" t="s">
        <v>209</v>
      </c>
      <c r="B144">
        <v>19</v>
      </c>
      <c r="C144" s="3">
        <v>1.8421052631578947</v>
      </c>
    </row>
    <row r="145" spans="1:3" x14ac:dyDescent="0.35">
      <c r="A145" s="6" t="s">
        <v>22</v>
      </c>
      <c r="B145">
        <v>20</v>
      </c>
      <c r="C145" s="3">
        <v>3.9</v>
      </c>
    </row>
    <row r="146" spans="1:3" x14ac:dyDescent="0.35">
      <c r="A146" s="6" t="s">
        <v>51</v>
      </c>
      <c r="B146">
        <v>61</v>
      </c>
      <c r="C146" s="3">
        <v>4.9508196721311473</v>
      </c>
    </row>
    <row r="147" spans="1:3" x14ac:dyDescent="0.35">
      <c r="A147" s="6" t="s">
        <v>506</v>
      </c>
      <c r="B147">
        <v>100</v>
      </c>
      <c r="C147" s="3">
        <v>4.1500000000000004</v>
      </c>
    </row>
    <row r="163" spans="1:3" x14ac:dyDescent="0.35">
      <c r="A163" t="s">
        <v>521</v>
      </c>
    </row>
    <row r="164" spans="1:3" x14ac:dyDescent="0.35">
      <c r="A164" s="9">
        <v>50</v>
      </c>
      <c r="C164">
        <f>GETPIVOTDATA("[Measures].[Distinct Count of Order ID]",$A$163)</f>
        <v>50</v>
      </c>
    </row>
  </sheetData>
  <conditionalFormatting pivot="1" sqref="B41:B44">
    <cfRule type="cellIs" dxfId="5" priority="4" operator="greaterThan">
      <formula>0</formula>
    </cfRule>
  </conditionalFormatting>
  <conditionalFormatting pivot="1" sqref="B41:B44">
    <cfRule type="cellIs" dxfId="4" priority="3" operator="lessThan">
      <formula>0</formula>
    </cfRule>
  </conditionalFormatting>
  <conditionalFormatting pivot="1" sqref="B4:B8">
    <cfRule type="cellIs" dxfId="3" priority="2" operator="greaterThan">
      <formula>0</formula>
    </cfRule>
  </conditionalFormatting>
  <conditionalFormatting pivot="1" sqref="B4:B8">
    <cfRule type="cellIs" dxfId="2" priority="1" operator="lessThan">
      <formula>0</formula>
    </cfRule>
  </conditionalFormatting>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17901-100A-4C0B-9C24-53A1EF601659}">
  <dimension ref="A1:AJ70"/>
  <sheetViews>
    <sheetView showGridLines="0" topLeftCell="A2" zoomScale="50" zoomScaleNormal="50" workbookViewId="0">
      <selection activeCell="AT55" sqref="AT55"/>
    </sheetView>
  </sheetViews>
  <sheetFormatPr defaultRowHeight="14.5" x14ac:dyDescent="0.35"/>
  <cols>
    <col min="7" max="7" width="2.81640625" customWidth="1"/>
    <col min="9" max="9" width="7.54296875" customWidth="1"/>
    <col min="11" max="11" width="8.7265625" customWidth="1"/>
    <col min="12" max="12" width="2.90625" customWidth="1"/>
    <col min="20" max="20" width="8.81640625" customWidth="1"/>
    <col min="24" max="24" width="2.90625" customWidth="1"/>
    <col min="27" max="27" width="8.7265625" customWidth="1"/>
    <col min="29" max="29" width="8.7265625" customWidth="1"/>
    <col min="36" max="36" width="2.90625" customWidth="1"/>
  </cols>
  <sheetData>
    <row r="1" spans="1:36" ht="14.5" customHeight="1" x14ac:dyDescent="0.35">
      <c r="G1" s="18" t="s">
        <v>518</v>
      </c>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row>
    <row r="2" spans="1:36" ht="14.5" customHeight="1" x14ac:dyDescent="0.35">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row>
    <row r="3" spans="1:36" ht="14.5" customHeight="1" x14ac:dyDescent="0.35">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4.5" customHeight="1" x14ac:dyDescent="0.35">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row>
    <row r="5" spans="1:36" ht="14.5" customHeight="1" x14ac:dyDescent="0.35">
      <c r="A5" s="11"/>
      <c r="B5" s="11"/>
      <c r="C5" s="11"/>
      <c r="D5" s="11"/>
      <c r="E5" s="11"/>
      <c r="F5" s="11"/>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ht="14.5" customHeight="1" x14ac:dyDescent="0.35">
      <c r="G6" s="20"/>
      <c r="K6" s="11"/>
      <c r="T6" s="11"/>
      <c r="AC6" s="12"/>
      <c r="AJ6" s="19"/>
    </row>
    <row r="7" spans="1:36" ht="14.5" customHeight="1" x14ac:dyDescent="0.35">
      <c r="G7" s="20"/>
      <c r="K7" s="11"/>
      <c r="T7" s="11"/>
      <c r="AC7" s="12"/>
      <c r="AJ7" s="19"/>
    </row>
    <row r="8" spans="1:36" ht="14.5" customHeight="1" x14ac:dyDescent="0.35">
      <c r="G8" s="20"/>
      <c r="K8" s="11"/>
      <c r="T8" s="11"/>
      <c r="AC8" s="12"/>
      <c r="AJ8" s="19"/>
    </row>
    <row r="9" spans="1:36" ht="14.5" customHeight="1" x14ac:dyDescent="0.35">
      <c r="G9" s="20"/>
      <c r="K9" s="11"/>
      <c r="T9" s="11"/>
      <c r="AC9" s="12"/>
      <c r="AJ9" s="19"/>
    </row>
    <row r="10" spans="1:36" ht="14.5" customHeight="1" x14ac:dyDescent="0.35">
      <c r="G10" s="20"/>
      <c r="K10" s="11"/>
      <c r="T10" s="11"/>
      <c r="AC10" s="12"/>
      <c r="AJ10" s="19"/>
    </row>
    <row r="11" spans="1:36" ht="14.5" customHeight="1" x14ac:dyDescent="0.35">
      <c r="G11" s="20"/>
      <c r="K11" s="11"/>
      <c r="T11" s="11"/>
      <c r="AC11" s="12"/>
      <c r="AJ11" s="19"/>
    </row>
    <row r="12" spans="1:36" ht="14.5" customHeight="1" x14ac:dyDescent="0.35">
      <c r="G12" s="20"/>
      <c r="K12" s="11"/>
      <c r="T12" s="11"/>
      <c r="AC12" s="12"/>
      <c r="AE12" s="8"/>
      <c r="AJ12" s="19"/>
    </row>
    <row r="13" spans="1:36" ht="14.5" customHeight="1" x14ac:dyDescent="0.35">
      <c r="G13" s="20"/>
      <c r="K13" s="11"/>
      <c r="T13" s="11"/>
      <c r="AC13" s="12"/>
      <c r="AJ13" s="19"/>
    </row>
    <row r="14" spans="1:36" ht="14.5" customHeight="1" x14ac:dyDescent="0.35">
      <c r="G14" s="20"/>
      <c r="K14" s="11"/>
      <c r="T14" s="11"/>
      <c r="AC14" s="12"/>
      <c r="AJ14" s="19"/>
    </row>
    <row r="15" spans="1:36" ht="14.5" customHeight="1" x14ac:dyDescent="0.35">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19"/>
    </row>
    <row r="16" spans="1:36" ht="14.5" customHeight="1" x14ac:dyDescent="0.35">
      <c r="G16" s="20"/>
      <c r="H16" s="22" t="s">
        <v>522</v>
      </c>
      <c r="I16" s="21"/>
      <c r="J16" s="21"/>
      <c r="K16" s="21"/>
      <c r="L16" s="20"/>
      <c r="T16" s="11"/>
      <c r="X16" s="17"/>
      <c r="AC16" s="12"/>
      <c r="AJ16" s="19"/>
    </row>
    <row r="17" spans="3:36" ht="14.5" customHeight="1" x14ac:dyDescent="0.35">
      <c r="G17" s="20"/>
      <c r="H17" s="21"/>
      <c r="I17" s="21"/>
      <c r="J17" s="21"/>
      <c r="K17" s="21"/>
      <c r="L17" s="20"/>
      <c r="T17" s="11"/>
      <c r="X17" s="17"/>
      <c r="AC17" s="12"/>
      <c r="AD17" s="8"/>
      <c r="AJ17" s="19"/>
    </row>
    <row r="18" spans="3:36" ht="14.5" customHeight="1" x14ac:dyDescent="0.35">
      <c r="G18" s="20"/>
      <c r="H18" s="21"/>
      <c r="I18" s="21"/>
      <c r="J18" s="21"/>
      <c r="K18" s="21"/>
      <c r="L18" s="20"/>
      <c r="T18" s="11"/>
      <c r="X18" s="17"/>
      <c r="AC18" s="12"/>
      <c r="AJ18" s="19"/>
    </row>
    <row r="19" spans="3:36" ht="14.5" customHeight="1" x14ac:dyDescent="0.35">
      <c r="G19" s="20"/>
      <c r="H19" s="21"/>
      <c r="I19" s="21"/>
      <c r="J19" s="21"/>
      <c r="K19" s="21"/>
      <c r="L19" s="20"/>
      <c r="T19" s="11"/>
      <c r="X19" s="17"/>
      <c r="AC19" s="12"/>
      <c r="AJ19" s="19"/>
    </row>
    <row r="20" spans="3:36" ht="14.5" customHeight="1" x14ac:dyDescent="0.35">
      <c r="G20" s="20"/>
      <c r="K20" s="11"/>
      <c r="L20" s="20"/>
      <c r="T20" s="11"/>
      <c r="X20" s="17"/>
      <c r="AC20" s="12"/>
      <c r="AJ20" s="19"/>
    </row>
    <row r="21" spans="3:36" ht="14.5" customHeight="1" x14ac:dyDescent="0.35">
      <c r="G21" s="20"/>
      <c r="K21" s="11"/>
      <c r="L21" s="20"/>
      <c r="T21" s="11"/>
      <c r="X21" s="17"/>
      <c r="AC21" s="12"/>
      <c r="AJ21" s="19"/>
    </row>
    <row r="22" spans="3:36" ht="14.5" customHeight="1" x14ac:dyDescent="0.35">
      <c r="G22" s="20"/>
      <c r="K22" s="11"/>
      <c r="L22" s="20"/>
      <c r="T22" s="11"/>
      <c r="X22" s="17"/>
      <c r="AC22" s="12"/>
      <c r="AJ22" s="19"/>
    </row>
    <row r="23" spans="3:36" ht="14.5" customHeight="1" x14ac:dyDescent="0.35">
      <c r="C23" s="11"/>
      <c r="D23" s="11"/>
      <c r="E23" s="11"/>
      <c r="F23" s="11"/>
      <c r="G23" s="20"/>
      <c r="H23" s="11"/>
      <c r="I23" s="11"/>
      <c r="J23" s="11"/>
      <c r="K23" s="11"/>
      <c r="L23" s="20"/>
      <c r="M23" s="11"/>
      <c r="N23" s="11"/>
      <c r="O23" s="11"/>
      <c r="P23" s="11"/>
      <c r="Q23" s="11"/>
      <c r="R23" s="11"/>
      <c r="S23" s="11"/>
      <c r="T23" s="11"/>
      <c r="U23" s="11"/>
      <c r="V23" s="11"/>
      <c r="W23" s="11"/>
      <c r="X23" s="17"/>
      <c r="Y23" s="11"/>
      <c r="Z23" s="11"/>
      <c r="AA23" s="11"/>
      <c r="AB23" s="11"/>
      <c r="AC23" s="12"/>
      <c r="AJ23" s="19"/>
    </row>
    <row r="24" spans="3:36" ht="14.5" customHeight="1" x14ac:dyDescent="0.35">
      <c r="G24" s="20"/>
      <c r="K24" s="11"/>
      <c r="L24" s="20"/>
      <c r="T24" s="11"/>
      <c r="X24" s="17"/>
      <c r="AC24" s="12"/>
      <c r="AJ24" s="19"/>
    </row>
    <row r="25" spans="3:36" ht="14.5" customHeight="1" x14ac:dyDescent="0.35">
      <c r="G25" s="20"/>
      <c r="K25" s="11"/>
      <c r="L25" s="20"/>
      <c r="T25" s="11"/>
      <c r="X25" s="17"/>
      <c r="AC25" s="12"/>
      <c r="AJ25" s="19"/>
    </row>
    <row r="26" spans="3:36" ht="14.5" customHeight="1" x14ac:dyDescent="0.35">
      <c r="G26" s="20"/>
      <c r="K26" s="11"/>
      <c r="L26" s="20"/>
      <c r="T26" s="11"/>
      <c r="X26" s="17"/>
      <c r="AC26" s="12"/>
      <c r="AJ26" s="19"/>
    </row>
    <row r="27" spans="3:36" ht="14.5" customHeight="1" x14ac:dyDescent="0.35">
      <c r="G27" s="20"/>
      <c r="K27" s="11"/>
      <c r="L27" s="20"/>
      <c r="T27" s="11"/>
      <c r="X27" s="17"/>
      <c r="AC27" s="12"/>
      <c r="AJ27" s="19"/>
    </row>
    <row r="28" spans="3:36" ht="14.5" customHeight="1" x14ac:dyDescent="0.35">
      <c r="G28" s="20"/>
      <c r="K28" s="11"/>
      <c r="L28" s="20"/>
      <c r="T28" s="11"/>
      <c r="X28" s="17"/>
      <c r="AC28" s="12"/>
      <c r="AJ28" s="19"/>
    </row>
    <row r="29" spans="3:36" ht="14.5" customHeight="1" x14ac:dyDescent="0.35">
      <c r="G29" s="20"/>
      <c r="K29" s="11"/>
      <c r="L29" s="20"/>
      <c r="T29" s="11"/>
      <c r="X29" s="17"/>
      <c r="AC29" s="12"/>
      <c r="AJ29" s="19"/>
    </row>
    <row r="30" spans="3:36" ht="14.5" customHeight="1" x14ac:dyDescent="0.35">
      <c r="G30" s="20"/>
      <c r="K30" s="11"/>
      <c r="L30" s="20"/>
      <c r="T30" s="11"/>
      <c r="X30" s="17"/>
      <c r="AC30" s="12"/>
      <c r="AJ30" s="19"/>
    </row>
    <row r="31" spans="3:36" ht="14.5" customHeight="1" x14ac:dyDescent="0.35">
      <c r="G31" s="20"/>
      <c r="K31" s="11"/>
      <c r="L31" s="20"/>
      <c r="T31" s="11"/>
      <c r="X31" s="17"/>
      <c r="AC31" s="12"/>
      <c r="AJ31" s="19"/>
    </row>
    <row r="32" spans="3:36" ht="14.5" customHeight="1" x14ac:dyDescent="0.35">
      <c r="G32" s="20"/>
      <c r="K32" s="11"/>
      <c r="L32" s="20"/>
      <c r="T32" s="11"/>
      <c r="X32" s="17"/>
      <c r="AC32" s="12"/>
      <c r="AJ32" s="19"/>
    </row>
    <row r="33" spans="3:36" ht="14.5" customHeight="1" x14ac:dyDescent="0.35">
      <c r="G33" s="20"/>
      <c r="K33" s="11"/>
      <c r="L33" s="20"/>
      <c r="T33" s="11"/>
      <c r="X33" s="17"/>
      <c r="AC33" s="12"/>
      <c r="AJ33" s="19"/>
    </row>
    <row r="34" spans="3:36" ht="14.5" customHeight="1" x14ac:dyDescent="0.35">
      <c r="G34" s="20"/>
      <c r="K34" s="11"/>
      <c r="L34" s="20"/>
      <c r="T34" s="11"/>
      <c r="X34" s="17"/>
      <c r="AC34" s="12"/>
      <c r="AJ34" s="19"/>
    </row>
    <row r="35" spans="3:36" ht="14.5" customHeight="1" x14ac:dyDescent="0.35">
      <c r="G35" s="20"/>
      <c r="K35" s="11"/>
      <c r="L35" s="20"/>
      <c r="T35" s="11"/>
      <c r="X35" s="17"/>
      <c r="AC35" s="12"/>
      <c r="AJ35" s="19"/>
    </row>
    <row r="36" spans="3:36" ht="14.5" customHeight="1" x14ac:dyDescent="0.35">
      <c r="G36" s="20"/>
      <c r="K36" s="11"/>
      <c r="L36" s="20"/>
      <c r="T36" s="11"/>
      <c r="X36" s="17"/>
      <c r="AC36" s="12"/>
      <c r="AJ36" s="19"/>
    </row>
    <row r="37" spans="3:36" ht="14.5" customHeight="1" x14ac:dyDescent="0.35">
      <c r="G37" s="20"/>
      <c r="K37" s="11"/>
      <c r="L37" s="20"/>
      <c r="T37" s="11"/>
      <c r="X37" s="17"/>
      <c r="AC37" s="12"/>
      <c r="AD37" s="8"/>
      <c r="AJ37" s="19"/>
    </row>
    <row r="38" spans="3:36" ht="14.5" customHeight="1" x14ac:dyDescent="0.35">
      <c r="G38" s="20"/>
      <c r="K38" s="11"/>
      <c r="L38" s="20"/>
      <c r="T38" s="11"/>
      <c r="X38" s="17"/>
      <c r="AC38" s="12"/>
      <c r="AJ38" s="19"/>
    </row>
    <row r="39" spans="3:36" ht="14.5" customHeight="1" x14ac:dyDescent="0.35">
      <c r="G39" s="20"/>
      <c r="K39" s="11"/>
      <c r="L39" s="20"/>
      <c r="T39" s="11"/>
      <c r="X39" s="17"/>
      <c r="AC39" s="12"/>
      <c r="AJ39" s="19"/>
    </row>
    <row r="40" spans="3:36" ht="14.5" customHeight="1" x14ac:dyDescent="0.35">
      <c r="G40" s="20"/>
      <c r="K40" s="11"/>
      <c r="L40" s="20"/>
      <c r="T40" s="11"/>
      <c r="X40" s="17"/>
      <c r="AC40" s="12"/>
      <c r="AJ40" s="19"/>
    </row>
    <row r="41" spans="3:36" ht="14.5" customHeight="1" x14ac:dyDescent="0.35">
      <c r="C41" s="11"/>
      <c r="D41" s="11"/>
      <c r="E41" s="11"/>
      <c r="F41" s="11"/>
      <c r="G41" s="20"/>
      <c r="H41" s="11"/>
      <c r="I41" s="11"/>
      <c r="J41" s="11"/>
      <c r="K41" s="11"/>
      <c r="L41" s="20"/>
      <c r="M41" s="17"/>
      <c r="N41" s="17"/>
      <c r="O41" s="17"/>
      <c r="P41" s="17"/>
      <c r="Q41" s="17"/>
      <c r="R41" s="17"/>
      <c r="S41" s="17"/>
      <c r="T41" s="17"/>
      <c r="U41" s="17"/>
      <c r="V41" s="17"/>
      <c r="W41" s="17"/>
      <c r="X41" s="17"/>
      <c r="Y41" s="17"/>
      <c r="Z41" s="17"/>
      <c r="AA41" s="17"/>
      <c r="AB41" s="17"/>
      <c r="AC41" s="17"/>
      <c r="AD41" s="17"/>
      <c r="AE41" s="17"/>
      <c r="AF41" s="17"/>
      <c r="AG41" s="17"/>
      <c r="AH41" s="17"/>
      <c r="AI41" s="17"/>
      <c r="AJ41" s="19"/>
    </row>
    <row r="42" spans="3:36" ht="14.5" customHeight="1" x14ac:dyDescent="0.35">
      <c r="G42" s="20"/>
      <c r="K42" s="11"/>
      <c r="L42" s="20"/>
      <c r="T42" s="11"/>
      <c r="X42" s="17"/>
      <c r="AC42" s="12"/>
      <c r="AJ42" s="19"/>
    </row>
    <row r="43" spans="3:36" ht="14.5" customHeight="1" x14ac:dyDescent="0.35">
      <c r="G43" s="20"/>
      <c r="K43" s="11"/>
      <c r="L43" s="20"/>
      <c r="T43" s="11"/>
      <c r="X43" s="17"/>
      <c r="AC43" s="12"/>
      <c r="AJ43" s="19"/>
    </row>
    <row r="44" spans="3:36" ht="14.5" customHeight="1" x14ac:dyDescent="0.35">
      <c r="G44" s="20"/>
      <c r="K44" s="11"/>
      <c r="L44" s="20"/>
      <c r="T44" s="11"/>
      <c r="X44" s="17"/>
      <c r="AC44" s="12"/>
      <c r="AJ44" s="19"/>
    </row>
    <row r="45" spans="3:36" ht="14.5" customHeight="1" x14ac:dyDescent="0.35">
      <c r="G45" s="20"/>
      <c r="K45" s="11"/>
      <c r="L45" s="20"/>
      <c r="T45" s="11"/>
      <c r="X45" s="17"/>
      <c r="AC45" s="12"/>
      <c r="AJ45" s="19"/>
    </row>
    <row r="46" spans="3:36" ht="14.5" customHeight="1" x14ac:dyDescent="0.35">
      <c r="G46" s="20"/>
      <c r="K46" s="11"/>
      <c r="L46" s="20"/>
      <c r="T46" s="11"/>
      <c r="X46" s="17"/>
      <c r="AC46" s="12"/>
      <c r="AJ46" s="19"/>
    </row>
    <row r="47" spans="3:36" ht="14.5" customHeight="1" x14ac:dyDescent="0.35">
      <c r="G47" s="20"/>
      <c r="K47" s="11"/>
      <c r="L47" s="20"/>
      <c r="T47" s="11"/>
      <c r="X47" s="17"/>
      <c r="AC47" s="12"/>
      <c r="AJ47" s="19"/>
    </row>
    <row r="48" spans="3:36" ht="14.5" customHeight="1" x14ac:dyDescent="0.35">
      <c r="G48" s="20"/>
      <c r="K48" s="11"/>
      <c r="L48" s="20"/>
      <c r="T48" s="11"/>
      <c r="X48" s="17"/>
      <c r="AC48" s="12"/>
      <c r="AJ48" s="19"/>
    </row>
    <row r="49" spans="3:36" ht="14.5" customHeight="1" x14ac:dyDescent="0.35">
      <c r="G49" s="20"/>
      <c r="K49" s="11"/>
      <c r="L49" s="20"/>
      <c r="T49" s="11"/>
      <c r="X49" s="17"/>
      <c r="AC49" s="12"/>
      <c r="AJ49" s="19"/>
    </row>
    <row r="50" spans="3:36" ht="14.5" customHeight="1" x14ac:dyDescent="0.35">
      <c r="G50" s="20"/>
      <c r="K50" s="11"/>
      <c r="L50" s="20"/>
      <c r="T50" s="11"/>
      <c r="X50" s="17"/>
      <c r="AC50" s="12"/>
      <c r="AJ50" s="19"/>
    </row>
    <row r="51" spans="3:36" ht="14.5" customHeight="1" x14ac:dyDescent="0.35">
      <c r="G51" s="20"/>
      <c r="K51" s="11"/>
      <c r="L51" s="20"/>
      <c r="T51" s="11"/>
      <c r="X51" s="17"/>
      <c r="AC51" s="12"/>
      <c r="AJ51" s="19"/>
    </row>
    <row r="52" spans="3:36" ht="14.5" customHeight="1" x14ac:dyDescent="0.35">
      <c r="G52" s="20"/>
      <c r="K52" s="11"/>
      <c r="L52" s="20"/>
      <c r="T52" s="11"/>
      <c r="X52" s="17"/>
      <c r="AC52" s="12"/>
      <c r="AJ52" s="19"/>
    </row>
    <row r="53" spans="3:36" ht="14.5" customHeight="1" x14ac:dyDescent="0.35">
      <c r="G53" s="20"/>
      <c r="K53" s="11"/>
      <c r="L53" s="20"/>
      <c r="T53" s="11"/>
      <c r="X53" s="17"/>
      <c r="AC53" s="12"/>
      <c r="AJ53" s="19"/>
    </row>
    <row r="54" spans="3:36" ht="14.5" customHeight="1" x14ac:dyDescent="0.35">
      <c r="G54" s="20"/>
      <c r="K54" s="11"/>
      <c r="L54" s="20"/>
      <c r="T54" s="11"/>
      <c r="X54" s="17"/>
      <c r="AC54" s="12"/>
      <c r="AJ54" s="19"/>
    </row>
    <row r="55" spans="3:36" ht="14.5" customHeight="1" x14ac:dyDescent="0.35">
      <c r="G55" s="20"/>
      <c r="K55" s="11"/>
      <c r="L55" s="20"/>
      <c r="T55" s="11"/>
      <c r="X55" s="17"/>
      <c r="AC55" s="12"/>
      <c r="AJ55" s="19"/>
    </row>
    <row r="56" spans="3:36" ht="14.5" customHeight="1" x14ac:dyDescent="0.35">
      <c r="G56" s="20"/>
      <c r="K56" s="11"/>
      <c r="L56" s="20"/>
      <c r="T56" s="11"/>
      <c r="X56" s="17"/>
      <c r="AC56" s="12"/>
      <c r="AJ56" s="19"/>
    </row>
    <row r="57" spans="3:36" ht="14.5" customHeight="1" x14ac:dyDescent="0.35">
      <c r="G57" s="20"/>
      <c r="K57" s="11"/>
      <c r="L57" s="20"/>
      <c r="T57" s="11"/>
      <c r="X57" s="17"/>
      <c r="AC57" s="12"/>
      <c r="AJ57" s="19"/>
    </row>
    <row r="58" spans="3:36" ht="14.5" customHeight="1" x14ac:dyDescent="0.35">
      <c r="G58" s="20"/>
      <c r="K58" s="11"/>
      <c r="L58" s="20"/>
      <c r="T58" s="11"/>
      <c r="X58" s="17"/>
      <c r="AC58" s="12"/>
      <c r="AJ58" s="19"/>
    </row>
    <row r="59" spans="3:36" ht="14.5" customHeight="1" x14ac:dyDescent="0.35">
      <c r="C59" s="11"/>
      <c r="D59" s="11"/>
      <c r="E59" s="11"/>
      <c r="F59" s="11"/>
      <c r="G59" s="20"/>
      <c r="H59" s="11"/>
      <c r="I59" s="11"/>
      <c r="J59" s="11"/>
      <c r="K59" s="11"/>
      <c r="L59" s="20"/>
      <c r="M59" s="11"/>
      <c r="N59" s="11"/>
      <c r="O59" s="11"/>
      <c r="P59" s="11"/>
      <c r="Q59" s="11"/>
      <c r="R59" s="11"/>
      <c r="S59" s="11"/>
      <c r="T59" s="11"/>
      <c r="U59" s="11"/>
      <c r="V59" s="11"/>
      <c r="W59" s="11"/>
      <c r="X59" s="17"/>
      <c r="Y59" s="11"/>
      <c r="Z59" s="11"/>
      <c r="AA59" s="11"/>
      <c r="AB59" s="11"/>
      <c r="AC59" s="12"/>
      <c r="AJ59" s="19"/>
    </row>
    <row r="60" spans="3:36" ht="14.5" customHeight="1" x14ac:dyDescent="0.35">
      <c r="G60" s="20"/>
      <c r="L60" s="20"/>
      <c r="T60" s="8"/>
      <c r="X60" s="17"/>
      <c r="AC60" s="12"/>
      <c r="AJ60" s="19"/>
    </row>
    <row r="61" spans="3:36" ht="14.5" customHeight="1" x14ac:dyDescent="0.35">
      <c r="G61" s="20"/>
      <c r="K61" s="8"/>
      <c r="L61" s="20"/>
      <c r="T61" s="8"/>
      <c r="X61" s="17"/>
      <c r="AJ61" s="19"/>
    </row>
    <row r="62" spans="3:36" ht="14.5" customHeight="1" x14ac:dyDescent="0.35">
      <c r="G62" s="20"/>
      <c r="K62" s="8"/>
      <c r="L62" s="20"/>
      <c r="T62" s="8"/>
      <c r="X62" s="17"/>
      <c r="AJ62" s="19"/>
    </row>
    <row r="63" spans="3:36" ht="14.5" customHeight="1" x14ac:dyDescent="0.35">
      <c r="G63" s="20"/>
      <c r="K63" s="8"/>
      <c r="L63" s="20"/>
      <c r="T63" s="8"/>
      <c r="X63" s="17"/>
      <c r="AJ63" s="19"/>
    </row>
    <row r="64" spans="3:36" ht="14.5" customHeight="1" x14ac:dyDescent="0.35">
      <c r="G64" s="20"/>
      <c r="K64" s="8"/>
      <c r="L64" s="20"/>
      <c r="T64" s="8"/>
      <c r="X64" s="17"/>
      <c r="AJ64" s="19"/>
    </row>
    <row r="65" spans="7:36" ht="14.5" customHeight="1" x14ac:dyDescent="0.35">
      <c r="G65" s="20"/>
      <c r="K65" s="8"/>
      <c r="L65" s="20"/>
      <c r="T65" s="8"/>
      <c r="X65" s="17"/>
      <c r="AJ65" s="19"/>
    </row>
    <row r="66" spans="7:36" ht="14.5" customHeight="1" x14ac:dyDescent="0.35">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19"/>
    </row>
    <row r="67" spans="7:36" ht="14.5" customHeight="1" x14ac:dyDescent="0.35">
      <c r="G67" s="11"/>
      <c r="K67" s="8"/>
      <c r="L67" s="11"/>
      <c r="T67" s="8"/>
      <c r="X67" s="11"/>
      <c r="AJ67" s="13"/>
    </row>
    <row r="68" spans="7:36" ht="14.5" customHeight="1" x14ac:dyDescent="0.35">
      <c r="G68" s="11"/>
      <c r="K68" s="8"/>
      <c r="L68" s="11"/>
      <c r="T68" s="8"/>
      <c r="X68" s="11"/>
      <c r="AJ68" s="13"/>
    </row>
    <row r="69" spans="7:36" ht="14.5" customHeight="1" x14ac:dyDescent="0.35">
      <c r="G69" s="11"/>
      <c r="K69" s="8"/>
      <c r="L69" s="11"/>
      <c r="T69" s="8"/>
      <c r="X69" s="11"/>
      <c r="AJ69" s="13"/>
    </row>
    <row r="70" spans="7:36" ht="14.5" customHeight="1" x14ac:dyDescent="0.35">
      <c r="G70" s="11"/>
      <c r="K70" s="8"/>
      <c r="L70" s="11"/>
      <c r="T70" s="8"/>
      <c r="X70" s="11"/>
      <c r="AJ70" s="13"/>
    </row>
  </sheetData>
  <mergeCells count="10">
    <mergeCell ref="G6:G66"/>
    <mergeCell ref="H66:AI66"/>
    <mergeCell ref="M41:W41"/>
    <mergeCell ref="Y41:AI41"/>
    <mergeCell ref="AJ1:AJ66"/>
    <mergeCell ref="X16:X65"/>
    <mergeCell ref="L16:L65"/>
    <mergeCell ref="H15:AI15"/>
    <mergeCell ref="G1:AI5"/>
    <mergeCell ref="H16:K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superstore_100rows</vt:lpstr>
      <vt:lpstr>Working Sheet</vt:lpstr>
      <vt:lpstr>Pivot Sheet</vt:lpstr>
      <vt:lpstr>Dashboard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Onyinye Maduakor</dc:creator>
  <cp:lastModifiedBy>Onyinye Maduakor</cp:lastModifiedBy>
  <dcterms:created xsi:type="dcterms:W3CDTF">2026-03-17T15:52:23Z</dcterms:created>
  <dcterms:modified xsi:type="dcterms:W3CDTF">2026-04-11T11:26:42Z</dcterms:modified>
</cp:coreProperties>
</file>